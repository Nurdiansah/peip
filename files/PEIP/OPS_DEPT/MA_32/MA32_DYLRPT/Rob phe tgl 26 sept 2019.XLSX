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8535" windowWidth="20055" windowHeight="2475"/>
  </bookViews>
  <sheets>
    <sheet name="26-19" sheetId="270" r:id="rId1"/>
  </sheets>
  <definedNames>
    <definedName name="_xlnm.Print_Area" localSheetId="0">'26-19'!$A$1:$AW$56</definedName>
  </definedNames>
  <calcPr calcId="124519"/>
</workbook>
</file>

<file path=xl/calcChain.xml><?xml version="1.0" encoding="utf-8"?>
<calcChain xmlns="http://schemas.openxmlformats.org/spreadsheetml/2006/main">
  <c r="AO43" i="270"/>
  <c r="AO42"/>
  <c r="AO41"/>
  <c r="I41"/>
  <c r="O41" s="1"/>
  <c r="AO40"/>
  <c r="I40"/>
  <c r="O40" s="1"/>
  <c r="AO39"/>
  <c r="I39"/>
  <c r="O39" s="1"/>
  <c r="AO38"/>
  <c r="I38"/>
  <c r="O38" s="1"/>
  <c r="AO37"/>
  <c r="I37"/>
  <c r="AO36"/>
  <c r="I36"/>
  <c r="O36" s="1"/>
  <c r="AK32"/>
  <c r="AI32"/>
  <c r="AG32"/>
  <c r="AE32"/>
  <c r="AC32"/>
  <c r="AA32"/>
  <c r="S32"/>
  <c r="S31"/>
  <c r="S30"/>
  <c r="S29"/>
  <c r="S28"/>
  <c r="S27"/>
  <c r="S25"/>
  <c r="S23"/>
  <c r="S22"/>
  <c r="S21"/>
  <c r="S20"/>
  <c r="I44" l="1"/>
  <c r="O37"/>
  <c r="O44" s="1"/>
</calcChain>
</file>

<file path=xl/sharedStrings.xml><?xml version="1.0" encoding="utf-8"?>
<sst xmlns="http://schemas.openxmlformats.org/spreadsheetml/2006/main" count="189" uniqueCount="128">
  <si>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</si>
  <si>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</si>
  <si>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</si>
  <si>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</si>
  <si>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</si>
  <si>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</si>
  <si>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</si>
  <si>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</si>
  <si>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</si>
  <si>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</si>
  <si>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</si>
  <si>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</si>
  <si>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</si>
  <si>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</si>
  <si>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</si>
  <si>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</si>
  <si>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</si>
  <si>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</si>
  <si>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</si>
  <si>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</si>
  <si>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</si>
  <si>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</si>
  <si>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</si>
  <si>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</si>
  <si>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</si>
  <si>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</si>
  <si>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</si>
  <si>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</si>
  <si>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</si>
  <si>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</si>
  <si>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</si>
  <si>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</si>
  <si>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</si>
  <si>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</si>
  <si>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</si>
  <si>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</si>
  <si>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</si>
  <si>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</si>
  <si>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</si>
  <si>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</si>
  <si>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</si>
  <si>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</si>
  <si>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</si>
  <si>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</si>
  <si>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</si>
  <si>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</si>
  <si>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</si>
  <si>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</si>
  <si>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</si>
  <si>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</si>
  <si>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</si>
  <si>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</si>
  <si>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</si>
  <si>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</si>
  <si>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</si>
  <si>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</si>
  <si>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</si>
  <si>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</si>
  <si>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</si>
  <si>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</si>
  <si>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</si>
  <si>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</si>
  <si>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</si>
  <si>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</si>
  <si>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</si>
  <si>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</si>
  <si>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</si>
  <si>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</si>
  <si>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</si>
  <si>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</si>
  <si>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</si>
  <si>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</si>
  <si>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</si>
  <si>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</si>
  <si>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</si>
  <si>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</si>
  <si>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</si>
  <si>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</si>
  <si>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</si>
  <si>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</si>
  <si>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</si>
  <si>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</si>
  <si>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</si>
  <si>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</si>
  <si>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</si>
  <si>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</si>
  <si>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</si>
  <si>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</si>
  <si>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</si>
  <si>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</si>
  <si>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</si>
  <si>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</si>
  <si>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</si>
  <si>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</si>
  <si>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</si>
  <si>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</si>
  <si>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</si>
  <si>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</si>
  <si>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Slight / 0.0-0.6 m</t>
  </si>
  <si>
    <t>E 4-6 Knot</t>
  </si>
  <si>
    <t>LHT Mitra Anugerah 32</t>
  </si>
  <si>
    <t>ANDI MUHAMMAD AMRI</t>
  </si>
  <si>
    <t>HERMAN</t>
  </si>
  <si>
    <t>Cinta Terminal ( SPM export )</t>
  </si>
  <si>
    <t>PT.EKA NURI/SAMUDERA INDO</t>
  </si>
  <si>
    <t>Moderate / 0.6-1.0 m</t>
  </si>
  <si>
    <t>Stby at mooring lineby megawati 5</t>
  </si>
  <si>
    <t>Stby  at mooring line by megawati 5</t>
  </si>
  <si>
    <t>Moderate / 1.0-1.5 m</t>
  </si>
  <si>
    <t>E 8- 10 Knot</t>
  </si>
  <si>
    <t>E 07-10 Knot</t>
  </si>
  <si>
    <t>E 10-14 Knot</t>
  </si>
  <si>
    <t>26 September ,2019</t>
  </si>
  <si>
    <t>sbe,steel mooring</t>
  </si>
  <si>
    <t>sbe,off at mooring line to 144/safety standown</t>
  </si>
  <si>
    <t>pic up/personil as swiber rubi</t>
  </si>
  <si>
    <t>mengantung di lambung kiri 114,M/E standby</t>
  </si>
  <si>
    <t>drop personil at 114</t>
  </si>
  <si>
    <t>pick up 5 personil from 114</t>
  </si>
  <si>
    <t>drop personil 1 crew to swiber rubi</t>
  </si>
  <si>
    <t>drop 2 personil to megawati 5</t>
  </si>
  <si>
    <t>survey line/storage to export</t>
  </si>
  <si>
    <t>sbe steel mooring line from m 5/ stop enggine</t>
  </si>
  <si>
    <t>stby at mooring line, by megawati 5</t>
  </si>
  <si>
    <t xml:space="preserve">12:06 s/d 12:42 survey line, from sbm storage </t>
  </si>
  <si>
    <t xml:space="preserve">                            to sbm expore</t>
  </si>
  <si>
    <t>a/s at mooring line by megawati 5/stop enggine</t>
  </si>
  <si>
    <t>clear,steel mooring line/stop enggine</t>
  </si>
</sst>
</file>

<file path=xl/styles.xml><?xml version="1.0" encoding="utf-8"?>
<styleSheet xmlns="http://schemas.openxmlformats.org/spreadsheetml/2006/main">
  <numFmts count="3">
    <numFmt numFmtId="164" formatCode="[$-409]mmmm\ d\,\ yyyy;@"/>
    <numFmt numFmtId="165" formatCode="[hh]:mm"/>
    <numFmt numFmtId="166" formatCode="#,##0.000"/>
  </numFmts>
  <fonts count="18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5" fillId="5" borderId="44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20" fontId="16" fillId="0" borderId="6" xfId="1" applyNumberFormat="1" applyFont="1" applyBorder="1" applyAlignment="1" applyProtection="1">
      <alignment horizontal="left" vertical="center"/>
      <protection locked="0"/>
    </xf>
    <xf numFmtId="0" fontId="4" fillId="0" borderId="15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3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273844</xdr:colOff>
      <xdr:row>45</xdr:row>
      <xdr:rowOff>47625</xdr:rowOff>
    </xdr:from>
    <xdr:to>
      <xdr:col>11</xdr:col>
      <xdr:colOff>57680</xdr:colOff>
      <xdr:row>51</xdr:row>
      <xdr:rowOff>75407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35844" y="9453563"/>
          <a:ext cx="2688961" cy="1206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</xdr:col>
      <xdr:colOff>83343</xdr:colOff>
      <xdr:row>45</xdr:row>
      <xdr:rowOff>23812</xdr:rowOff>
    </xdr:from>
    <xdr:to>
      <xdr:col>26</xdr:col>
      <xdr:colOff>95249</xdr:colOff>
      <xdr:row>51</xdr:row>
      <xdr:rowOff>22488</xdr:rowOff>
    </xdr:to>
    <xdr:pic>
      <xdr:nvPicPr>
        <xdr:cNvPr id="4" name="Picture 3"/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 rot="5400000">
          <a:off x="7561131" y="8667087"/>
          <a:ext cx="1177394" cy="27027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J357"/>
  <sheetViews>
    <sheetView tabSelected="1" view="pageBreakPreview" topLeftCell="A5" zoomScale="71" zoomScaleNormal="90" zoomScaleSheetLayoutView="71" workbookViewId="0">
      <selection activeCell="AM16" sqref="AM16:AV16"/>
    </sheetView>
  </sheetViews>
  <sheetFormatPr defaultRowHeight="12.75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326"/>
      <c r="W3" s="326"/>
      <c r="X3" s="326"/>
      <c r="Y3" s="326"/>
      <c r="Z3" s="326"/>
      <c r="AA3" s="326"/>
      <c r="AB3" s="326"/>
      <c r="AC3" s="326"/>
      <c r="AD3" s="326"/>
      <c r="AE3" s="326"/>
      <c r="AF3" s="326"/>
      <c r="AG3" s="326"/>
      <c r="AH3" s="326"/>
      <c r="AI3" s="326"/>
      <c r="AJ3" s="326"/>
      <c r="AK3" s="326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>
      <c r="A7" s="4"/>
      <c r="B7" s="8" t="s">
        <v>2</v>
      </c>
      <c r="C7" s="9"/>
      <c r="D7" s="9"/>
      <c r="E7" s="9"/>
      <c r="F7" s="327" t="s">
        <v>112</v>
      </c>
      <c r="G7" s="328"/>
      <c r="H7" s="328"/>
      <c r="I7" s="328"/>
      <c r="J7" s="328"/>
      <c r="K7" s="329"/>
      <c r="L7" s="10" t="s">
        <v>3</v>
      </c>
      <c r="M7" s="9"/>
      <c r="N7" s="9"/>
      <c r="O7" s="11"/>
      <c r="P7" s="330" t="s">
        <v>103</v>
      </c>
      <c r="Q7" s="331"/>
      <c r="R7" s="331"/>
      <c r="S7" s="331"/>
      <c r="T7" s="331"/>
      <c r="U7" s="332"/>
      <c r="V7" s="12"/>
      <c r="W7" s="316" t="s">
        <v>4</v>
      </c>
      <c r="X7" s="317"/>
      <c r="Y7" s="317"/>
      <c r="Z7" s="318"/>
      <c r="AA7" s="336" t="s">
        <v>96</v>
      </c>
      <c r="AB7" s="337"/>
      <c r="AC7" s="337"/>
      <c r="AD7" s="337"/>
      <c r="AE7" s="337"/>
      <c r="AF7" s="337"/>
      <c r="AG7" s="337"/>
      <c r="AH7" s="337"/>
      <c r="AI7" s="337"/>
      <c r="AJ7" s="337"/>
      <c r="AK7" s="337"/>
      <c r="AL7" s="338"/>
      <c r="AM7" s="316" t="s">
        <v>5</v>
      </c>
      <c r="AN7" s="317"/>
      <c r="AO7" s="317"/>
      <c r="AP7" s="317"/>
      <c r="AQ7" s="317"/>
      <c r="AR7" s="317"/>
      <c r="AS7" s="317"/>
      <c r="AT7" s="317"/>
      <c r="AU7" s="317"/>
      <c r="AV7" s="318"/>
    </row>
    <row r="8" spans="1:54" ht="15.75" customHeight="1">
      <c r="A8" s="4"/>
      <c r="B8" s="13" t="s">
        <v>6</v>
      </c>
      <c r="C8" s="14"/>
      <c r="D8" s="14"/>
      <c r="E8" s="14"/>
      <c r="F8" s="353" t="s">
        <v>100</v>
      </c>
      <c r="G8" s="354"/>
      <c r="H8" s="354"/>
      <c r="I8" s="354"/>
      <c r="J8" s="354"/>
      <c r="K8" s="355"/>
      <c r="L8" s="15" t="s">
        <v>7</v>
      </c>
      <c r="M8" s="14"/>
      <c r="N8" s="14"/>
      <c r="O8" s="16"/>
      <c r="P8" s="356" t="s">
        <v>104</v>
      </c>
      <c r="Q8" s="357"/>
      <c r="R8" s="357"/>
      <c r="S8" s="357"/>
      <c r="T8" s="357"/>
      <c r="U8" s="358"/>
      <c r="V8" s="12"/>
      <c r="W8" s="333"/>
      <c r="X8" s="334"/>
      <c r="Y8" s="334"/>
      <c r="Z8" s="335"/>
      <c r="AA8" s="339"/>
      <c r="AB8" s="340"/>
      <c r="AC8" s="340"/>
      <c r="AD8" s="340"/>
      <c r="AE8" s="340"/>
      <c r="AF8" s="340"/>
      <c r="AG8" s="340"/>
      <c r="AH8" s="340"/>
      <c r="AI8" s="340"/>
      <c r="AJ8" s="340"/>
      <c r="AK8" s="340"/>
      <c r="AL8" s="341"/>
      <c r="AM8" s="319"/>
      <c r="AN8" s="320"/>
      <c r="AO8" s="320"/>
      <c r="AP8" s="320"/>
      <c r="AQ8" s="320"/>
      <c r="AR8" s="320"/>
      <c r="AS8" s="320"/>
      <c r="AT8" s="320"/>
      <c r="AU8" s="320"/>
      <c r="AV8" s="321"/>
    </row>
    <row r="9" spans="1:54" ht="15.75" customHeight="1" thickBot="1">
      <c r="A9" s="4"/>
      <c r="B9" s="13" t="s">
        <v>8</v>
      </c>
      <c r="C9" s="14"/>
      <c r="D9" s="14"/>
      <c r="E9" s="14"/>
      <c r="F9" s="359" t="s">
        <v>86</v>
      </c>
      <c r="G9" s="360"/>
      <c r="H9" s="360"/>
      <c r="I9" s="360"/>
      <c r="J9" s="360"/>
      <c r="K9" s="361"/>
      <c r="L9" s="17" t="s">
        <v>9</v>
      </c>
      <c r="M9" s="18"/>
      <c r="N9" s="18"/>
      <c r="O9" s="19"/>
      <c r="P9" s="362" t="s">
        <v>101</v>
      </c>
      <c r="Q9" s="363"/>
      <c r="R9" s="363"/>
      <c r="S9" s="363"/>
      <c r="T9" s="363"/>
      <c r="U9" s="364"/>
      <c r="V9" s="20"/>
      <c r="W9" s="312" t="s">
        <v>10</v>
      </c>
      <c r="X9" s="313"/>
      <c r="Y9" s="365" t="s">
        <v>11</v>
      </c>
      <c r="Z9" s="366"/>
      <c r="AA9" s="312" t="s">
        <v>12</v>
      </c>
      <c r="AB9" s="313"/>
      <c r="AC9" s="314" t="s">
        <v>13</v>
      </c>
      <c r="AD9" s="313"/>
      <c r="AE9" s="314" t="s">
        <v>14</v>
      </c>
      <c r="AF9" s="313"/>
      <c r="AG9" s="314" t="s">
        <v>15</v>
      </c>
      <c r="AH9" s="313"/>
      <c r="AI9" s="314" t="s">
        <v>16</v>
      </c>
      <c r="AJ9" s="313"/>
      <c r="AK9" s="314" t="s">
        <v>17</v>
      </c>
      <c r="AL9" s="315"/>
      <c r="AM9" s="322"/>
      <c r="AN9" s="323"/>
      <c r="AO9" s="323"/>
      <c r="AP9" s="323"/>
      <c r="AQ9" s="323"/>
      <c r="AR9" s="323"/>
      <c r="AS9" s="323"/>
      <c r="AT9" s="323"/>
      <c r="AU9" s="323"/>
      <c r="AV9" s="324"/>
    </row>
    <row r="10" spans="1:54" ht="15.75" customHeight="1" thickTop="1" thickBot="1">
      <c r="A10" s="4"/>
      <c r="B10" s="21" t="s">
        <v>18</v>
      </c>
      <c r="C10" s="22"/>
      <c r="D10" s="22"/>
      <c r="E10" s="22"/>
      <c r="F10" s="342" t="s">
        <v>86</v>
      </c>
      <c r="G10" s="343"/>
      <c r="H10" s="23" t="s">
        <v>19</v>
      </c>
      <c r="I10" s="344" t="s">
        <v>86</v>
      </c>
      <c r="J10" s="344"/>
      <c r="K10" s="345"/>
      <c r="L10" s="24" t="s">
        <v>20</v>
      </c>
      <c r="M10" s="22"/>
      <c r="N10" s="22"/>
      <c r="O10" s="25"/>
      <c r="P10" s="346">
        <v>11</v>
      </c>
      <c r="Q10" s="347"/>
      <c r="R10" s="26" t="s">
        <v>21</v>
      </c>
      <c r="S10" s="347">
        <v>0</v>
      </c>
      <c r="T10" s="347"/>
      <c r="U10" s="27" t="s">
        <v>22</v>
      </c>
      <c r="V10" s="28"/>
      <c r="W10" s="348">
        <v>0</v>
      </c>
      <c r="X10" s="349"/>
      <c r="Y10" s="350">
        <v>0.12916666666666668</v>
      </c>
      <c r="Z10" s="351"/>
      <c r="AA10" s="350"/>
      <c r="AB10" s="351"/>
      <c r="AC10" s="350"/>
      <c r="AD10" s="351"/>
      <c r="AE10" s="350"/>
      <c r="AF10" s="351"/>
      <c r="AG10" s="350"/>
      <c r="AH10" s="351"/>
      <c r="AI10" s="350"/>
      <c r="AJ10" s="351"/>
      <c r="AK10" s="350">
        <v>0.12916666666666668</v>
      </c>
      <c r="AL10" s="352"/>
      <c r="AM10" s="271" t="s">
        <v>106</v>
      </c>
      <c r="AN10" s="237"/>
      <c r="AO10" s="237"/>
      <c r="AP10" s="237"/>
      <c r="AQ10" s="237"/>
      <c r="AR10" s="237"/>
      <c r="AS10" s="237"/>
      <c r="AT10" s="237"/>
      <c r="AU10" s="237"/>
      <c r="AV10" s="238"/>
    </row>
    <row r="11" spans="1:54" ht="15.75" customHeight="1" thickTop="1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270">
        <v>0.12916666666666668</v>
      </c>
      <c r="X11" s="311"/>
      <c r="Y11" s="233">
        <v>0.16527777777777777</v>
      </c>
      <c r="Z11" s="234"/>
      <c r="AA11" s="233"/>
      <c r="AB11" s="234"/>
      <c r="AC11" s="248"/>
      <c r="AD11" s="249"/>
      <c r="AE11" s="248"/>
      <c r="AF11" s="249"/>
      <c r="AG11" s="248">
        <v>3.6111111111111115E-2</v>
      </c>
      <c r="AH11" s="249"/>
      <c r="AI11" s="233"/>
      <c r="AJ11" s="234"/>
      <c r="AK11" s="233"/>
      <c r="AL11" s="235"/>
      <c r="AM11" s="271" t="s">
        <v>113</v>
      </c>
      <c r="AN11" s="237"/>
      <c r="AO11" s="237"/>
      <c r="AP11" s="237"/>
      <c r="AQ11" s="237"/>
      <c r="AR11" s="237"/>
      <c r="AS11" s="237"/>
      <c r="AT11" s="237"/>
      <c r="AU11" s="237"/>
      <c r="AV11" s="238"/>
    </row>
    <row r="12" spans="1:54" ht="15.75" customHeight="1" thickBot="1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270">
        <v>0.16527777777777777</v>
      </c>
      <c r="X12" s="311"/>
      <c r="Y12" s="247">
        <v>0.34583333333333338</v>
      </c>
      <c r="Z12" s="246"/>
      <c r="AA12" s="233"/>
      <c r="AB12" s="234"/>
      <c r="AC12" s="233"/>
      <c r="AD12" s="234"/>
      <c r="AE12" s="233"/>
      <c r="AF12" s="234"/>
      <c r="AG12" s="233"/>
      <c r="AH12" s="234"/>
      <c r="AI12" s="231"/>
      <c r="AJ12" s="232"/>
      <c r="AK12" s="233">
        <v>0.18055555555555555</v>
      </c>
      <c r="AL12" s="235"/>
      <c r="AM12" s="236" t="s">
        <v>107</v>
      </c>
      <c r="AN12" s="237"/>
      <c r="AO12" s="237"/>
      <c r="AP12" s="237"/>
      <c r="AQ12" s="237"/>
      <c r="AR12" s="237"/>
      <c r="AS12" s="237"/>
      <c r="AT12" s="237"/>
      <c r="AU12" s="237"/>
      <c r="AV12" s="238"/>
    </row>
    <row r="13" spans="1:54" ht="16.5" customHeight="1" thickTop="1" thickBot="1">
      <c r="A13" s="4"/>
      <c r="B13" s="308" t="s">
        <v>24</v>
      </c>
      <c r="C13" s="309"/>
      <c r="D13" s="309"/>
      <c r="E13" s="310"/>
      <c r="F13" s="175" t="s">
        <v>25</v>
      </c>
      <c r="G13" s="176"/>
      <c r="H13" s="176"/>
      <c r="I13" s="177"/>
      <c r="J13" s="175" t="s">
        <v>26</v>
      </c>
      <c r="K13" s="176"/>
      <c r="L13" s="176"/>
      <c r="M13" s="177"/>
      <c r="N13" s="175" t="s">
        <v>27</v>
      </c>
      <c r="O13" s="176"/>
      <c r="P13" s="176"/>
      <c r="Q13" s="177"/>
      <c r="R13" s="175" t="s">
        <v>28</v>
      </c>
      <c r="S13" s="176"/>
      <c r="T13" s="176"/>
      <c r="U13" s="178"/>
      <c r="V13" s="99"/>
      <c r="W13" s="245">
        <v>0.34583333333333338</v>
      </c>
      <c r="X13" s="250"/>
      <c r="Y13" s="247">
        <v>0.37916666666666665</v>
      </c>
      <c r="Z13" s="246"/>
      <c r="AA13" s="233"/>
      <c r="AB13" s="234"/>
      <c r="AC13" s="248"/>
      <c r="AD13" s="249"/>
      <c r="AE13" s="233"/>
      <c r="AF13" s="234"/>
      <c r="AG13" s="233">
        <v>3.3333333333333333E-2</v>
      </c>
      <c r="AH13" s="234"/>
      <c r="AI13" s="264"/>
      <c r="AJ13" s="264"/>
      <c r="AK13" s="265"/>
      <c r="AL13" s="266"/>
      <c r="AM13" s="271" t="s">
        <v>127</v>
      </c>
      <c r="AN13" s="237"/>
      <c r="AO13" s="237"/>
      <c r="AP13" s="237"/>
      <c r="AQ13" s="237"/>
      <c r="AR13" s="237"/>
      <c r="AS13" s="237"/>
      <c r="AT13" s="237"/>
      <c r="AU13" s="237"/>
      <c r="AV13" s="238"/>
    </row>
    <row r="14" spans="1:54" ht="15.75" customHeight="1" thickTop="1">
      <c r="A14" s="4"/>
      <c r="B14" s="303" t="s">
        <v>29</v>
      </c>
      <c r="C14" s="286"/>
      <c r="D14" s="286"/>
      <c r="E14" s="286"/>
      <c r="F14" s="304" t="s">
        <v>99</v>
      </c>
      <c r="G14" s="305"/>
      <c r="H14" s="305"/>
      <c r="I14" s="306"/>
      <c r="J14" s="307" t="s">
        <v>110</v>
      </c>
      <c r="K14" s="305"/>
      <c r="L14" s="305"/>
      <c r="M14" s="306"/>
      <c r="N14" s="304" t="s">
        <v>111</v>
      </c>
      <c r="O14" s="305"/>
      <c r="P14" s="305"/>
      <c r="Q14" s="306"/>
      <c r="R14" s="307" t="s">
        <v>109</v>
      </c>
      <c r="S14" s="305"/>
      <c r="T14" s="305"/>
      <c r="U14" s="306"/>
      <c r="V14" s="99"/>
      <c r="W14" s="245">
        <v>0.37916666666666665</v>
      </c>
      <c r="X14" s="250"/>
      <c r="Y14" s="247">
        <v>0.39166666666666666</v>
      </c>
      <c r="Z14" s="246"/>
      <c r="AA14" s="233"/>
      <c r="AB14" s="234"/>
      <c r="AC14" s="233">
        <v>1.2499999999999999E-2</v>
      </c>
      <c r="AD14" s="234"/>
      <c r="AE14" s="231"/>
      <c r="AF14" s="232"/>
      <c r="AG14" s="231"/>
      <c r="AH14" s="232"/>
      <c r="AI14" s="233"/>
      <c r="AJ14" s="234"/>
      <c r="AK14" s="233"/>
      <c r="AL14" s="235"/>
      <c r="AM14" s="271" t="s">
        <v>114</v>
      </c>
      <c r="AN14" s="237"/>
      <c r="AO14" s="237"/>
      <c r="AP14" s="237"/>
      <c r="AQ14" s="237"/>
      <c r="AR14" s="237"/>
      <c r="AS14" s="237"/>
      <c r="AT14" s="237"/>
      <c r="AU14" s="237"/>
      <c r="AV14" s="238"/>
    </row>
    <row r="15" spans="1:54" ht="15.75" customHeight="1">
      <c r="A15" s="4"/>
      <c r="B15" s="298" t="s">
        <v>30</v>
      </c>
      <c r="C15" s="283"/>
      <c r="D15" s="283"/>
      <c r="E15" s="299"/>
      <c r="F15" s="300" t="s">
        <v>98</v>
      </c>
      <c r="G15" s="301"/>
      <c r="H15" s="301"/>
      <c r="I15" s="302"/>
      <c r="J15" s="300" t="s">
        <v>105</v>
      </c>
      <c r="K15" s="301"/>
      <c r="L15" s="301"/>
      <c r="M15" s="302"/>
      <c r="N15" s="300" t="s">
        <v>108</v>
      </c>
      <c r="O15" s="301"/>
      <c r="P15" s="301"/>
      <c r="Q15" s="302"/>
      <c r="R15" s="300" t="s">
        <v>98</v>
      </c>
      <c r="S15" s="301"/>
      <c r="T15" s="301"/>
      <c r="U15" s="302"/>
      <c r="V15" s="99"/>
      <c r="W15" s="245">
        <v>0.39166666666666666</v>
      </c>
      <c r="X15" s="250"/>
      <c r="Y15" s="247">
        <v>0.41250000000000003</v>
      </c>
      <c r="Z15" s="246"/>
      <c r="AA15" s="233"/>
      <c r="AB15" s="234"/>
      <c r="AC15" s="233"/>
      <c r="AD15" s="234"/>
      <c r="AE15" s="233"/>
      <c r="AF15" s="234"/>
      <c r="AG15" s="233">
        <v>2.0833333333333332E-2</v>
      </c>
      <c r="AH15" s="234"/>
      <c r="AI15" s="233"/>
      <c r="AJ15" s="234"/>
      <c r="AK15" s="233"/>
      <c r="AL15" s="235"/>
      <c r="AM15" s="271" t="s">
        <v>115</v>
      </c>
      <c r="AN15" s="237"/>
      <c r="AO15" s="237"/>
      <c r="AP15" s="237"/>
      <c r="AQ15" s="237"/>
      <c r="AR15" s="237"/>
      <c r="AS15" s="237"/>
      <c r="AT15" s="237"/>
      <c r="AU15" s="237"/>
      <c r="AV15" s="238"/>
    </row>
    <row r="16" spans="1:54" ht="15.75" customHeight="1" thickBot="1">
      <c r="A16" s="4"/>
      <c r="B16" s="293" t="s">
        <v>31</v>
      </c>
      <c r="C16" s="294"/>
      <c r="D16" s="294"/>
      <c r="E16" s="294"/>
      <c r="F16" s="295"/>
      <c r="G16" s="296"/>
      <c r="H16" s="296"/>
      <c r="I16" s="297"/>
      <c r="J16" s="295"/>
      <c r="K16" s="296"/>
      <c r="L16" s="296"/>
      <c r="M16" s="297"/>
      <c r="N16" s="295"/>
      <c r="O16" s="296"/>
      <c r="P16" s="296"/>
      <c r="Q16" s="297"/>
      <c r="R16" s="295"/>
      <c r="S16" s="296"/>
      <c r="T16" s="296"/>
      <c r="U16" s="297"/>
      <c r="V16" s="99"/>
      <c r="W16" s="245">
        <v>0.41250000000000003</v>
      </c>
      <c r="X16" s="246"/>
      <c r="Y16" s="247">
        <v>0.42083333333333334</v>
      </c>
      <c r="Z16" s="246"/>
      <c r="AA16" s="233"/>
      <c r="AB16" s="234"/>
      <c r="AC16" s="233">
        <v>8.3333333333333332E-3</v>
      </c>
      <c r="AD16" s="234"/>
      <c r="AE16" s="233"/>
      <c r="AF16" s="234"/>
      <c r="AG16" s="233"/>
      <c r="AH16" s="234"/>
      <c r="AI16" s="233"/>
      <c r="AJ16" s="234"/>
      <c r="AK16" s="233"/>
      <c r="AL16" s="235"/>
      <c r="AM16" s="271" t="s">
        <v>117</v>
      </c>
      <c r="AN16" s="237"/>
      <c r="AO16" s="237"/>
      <c r="AP16" s="237"/>
      <c r="AQ16" s="237"/>
      <c r="AR16" s="237"/>
      <c r="AS16" s="237"/>
      <c r="AT16" s="237"/>
      <c r="AU16" s="237"/>
      <c r="AV16" s="238"/>
    </row>
    <row r="17" spans="1:48" ht="15.75" customHeight="1" thickTop="1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245">
        <v>0.42083333333333334</v>
      </c>
      <c r="X17" s="246"/>
      <c r="Y17" s="247">
        <v>0.48333333333333334</v>
      </c>
      <c r="Z17" s="246"/>
      <c r="AA17" s="233"/>
      <c r="AB17" s="234"/>
      <c r="AC17" s="248"/>
      <c r="AD17" s="249"/>
      <c r="AE17" s="248"/>
      <c r="AF17" s="249"/>
      <c r="AG17" s="248">
        <v>6.25E-2</v>
      </c>
      <c r="AH17" s="249"/>
      <c r="AI17" s="233"/>
      <c r="AJ17" s="234"/>
      <c r="AK17" s="233"/>
      <c r="AL17" s="235"/>
      <c r="AM17" s="271" t="s">
        <v>116</v>
      </c>
      <c r="AN17" s="237"/>
      <c r="AO17" s="237"/>
      <c r="AP17" s="237"/>
      <c r="AQ17" s="237"/>
      <c r="AR17" s="237"/>
      <c r="AS17" s="237"/>
      <c r="AT17" s="237"/>
      <c r="AU17" s="237"/>
      <c r="AV17" s="238"/>
    </row>
    <row r="18" spans="1:48" ht="15.75" customHeight="1" thickBot="1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245">
        <v>0.48333333333333334</v>
      </c>
      <c r="X18" s="246"/>
      <c r="Y18" s="247">
        <v>0.49583333333333335</v>
      </c>
      <c r="Z18" s="246"/>
      <c r="AA18" s="233"/>
      <c r="AB18" s="234"/>
      <c r="AC18" s="233">
        <v>1.2499999999999999E-2</v>
      </c>
      <c r="AD18" s="234"/>
      <c r="AE18" s="248"/>
      <c r="AF18" s="249"/>
      <c r="AG18" s="248"/>
      <c r="AH18" s="249"/>
      <c r="AI18" s="233"/>
      <c r="AJ18" s="234"/>
      <c r="AK18" s="233"/>
      <c r="AL18" s="235"/>
      <c r="AM18" s="271" t="s">
        <v>118</v>
      </c>
      <c r="AN18" s="237"/>
      <c r="AO18" s="237"/>
      <c r="AP18" s="237"/>
      <c r="AQ18" s="237"/>
      <c r="AR18" s="237"/>
      <c r="AS18" s="237"/>
      <c r="AT18" s="237"/>
      <c r="AU18" s="237"/>
      <c r="AV18" s="238"/>
    </row>
    <row r="19" spans="1:48" ht="15.75" customHeight="1" thickTop="1" thickBot="1">
      <c r="A19" s="4"/>
      <c r="B19" s="34"/>
      <c r="C19" s="218" t="s">
        <v>33</v>
      </c>
      <c r="D19" s="206"/>
      <c r="E19" s="206"/>
      <c r="F19" s="206"/>
      <c r="G19" s="206"/>
      <c r="H19" s="206"/>
      <c r="I19" s="206"/>
      <c r="J19" s="206"/>
      <c r="K19" s="206"/>
      <c r="L19" s="219"/>
      <c r="M19" s="218" t="s">
        <v>34</v>
      </c>
      <c r="N19" s="206"/>
      <c r="O19" s="219"/>
      <c r="P19" s="218" t="s">
        <v>35</v>
      </c>
      <c r="Q19" s="206"/>
      <c r="R19" s="219"/>
      <c r="S19" s="218" t="s">
        <v>36</v>
      </c>
      <c r="T19" s="206"/>
      <c r="U19" s="207"/>
      <c r="V19" s="100"/>
      <c r="W19" s="245">
        <v>0.49583333333333335</v>
      </c>
      <c r="X19" s="246"/>
      <c r="Y19" s="247">
        <v>0.50416666666666665</v>
      </c>
      <c r="Z19" s="246"/>
      <c r="AA19" s="233"/>
      <c r="AB19" s="234"/>
      <c r="AC19" s="231"/>
      <c r="AD19" s="232"/>
      <c r="AE19" s="233"/>
      <c r="AF19" s="234"/>
      <c r="AG19" s="233">
        <v>8.3333333333333332E-3</v>
      </c>
      <c r="AH19" s="234"/>
      <c r="AI19" s="233"/>
      <c r="AJ19" s="234"/>
      <c r="AK19" s="233"/>
      <c r="AL19" s="235"/>
      <c r="AM19" s="271" t="s">
        <v>119</v>
      </c>
      <c r="AN19" s="237"/>
      <c r="AO19" s="237"/>
      <c r="AP19" s="237"/>
      <c r="AQ19" s="237"/>
      <c r="AR19" s="237"/>
      <c r="AS19" s="237"/>
      <c r="AT19" s="237"/>
      <c r="AU19" s="237"/>
      <c r="AV19" s="238"/>
    </row>
    <row r="20" spans="1:48" ht="15.75" customHeight="1" thickTop="1">
      <c r="A20" s="4"/>
      <c r="B20" s="35">
        <v>1</v>
      </c>
      <c r="C20" s="285" t="s">
        <v>94</v>
      </c>
      <c r="D20" s="286"/>
      <c r="E20" s="286"/>
      <c r="F20" s="286"/>
      <c r="G20" s="286"/>
      <c r="H20" s="286"/>
      <c r="I20" s="286"/>
      <c r="J20" s="286"/>
      <c r="K20" s="286"/>
      <c r="L20" s="11"/>
      <c r="M20" s="287">
        <v>0</v>
      </c>
      <c r="N20" s="288"/>
      <c r="O20" s="289"/>
      <c r="P20" s="287">
        <v>0</v>
      </c>
      <c r="Q20" s="288"/>
      <c r="R20" s="289"/>
      <c r="S20" s="290">
        <f>M20+P20</f>
        <v>0</v>
      </c>
      <c r="T20" s="291"/>
      <c r="U20" s="292"/>
      <c r="V20" s="101"/>
      <c r="W20" s="245">
        <v>0.50416666666666665</v>
      </c>
      <c r="X20" s="246"/>
      <c r="Y20" s="233">
        <v>0.52916666666666667</v>
      </c>
      <c r="Z20" s="234"/>
      <c r="AA20" s="248"/>
      <c r="AB20" s="249"/>
      <c r="AC20" s="233">
        <v>2.4999999999999998E-2</v>
      </c>
      <c r="AD20" s="234"/>
      <c r="AE20" s="248"/>
      <c r="AF20" s="249"/>
      <c r="AG20" s="248"/>
      <c r="AH20" s="249"/>
      <c r="AI20" s="248"/>
      <c r="AJ20" s="249"/>
      <c r="AK20" s="248"/>
      <c r="AL20" s="284"/>
      <c r="AM20" s="271" t="s">
        <v>120</v>
      </c>
      <c r="AN20" s="237"/>
      <c r="AO20" s="237"/>
      <c r="AP20" s="237"/>
      <c r="AQ20" s="237"/>
      <c r="AR20" s="237"/>
      <c r="AS20" s="237"/>
      <c r="AT20" s="237"/>
      <c r="AU20" s="237"/>
      <c r="AV20" s="238"/>
    </row>
    <row r="21" spans="1:48" ht="15.75" customHeight="1">
      <c r="A21" s="4"/>
      <c r="B21" s="36">
        <v>2</v>
      </c>
      <c r="C21" s="282" t="s">
        <v>37</v>
      </c>
      <c r="D21" s="283"/>
      <c r="E21" s="283"/>
      <c r="F21" s="283"/>
      <c r="G21" s="283"/>
      <c r="H21" s="283"/>
      <c r="I21" s="283"/>
      <c r="J21" s="283"/>
      <c r="K21" s="283"/>
      <c r="L21" s="16"/>
      <c r="M21" s="279">
        <v>0</v>
      </c>
      <c r="N21" s="280"/>
      <c r="O21" s="281"/>
      <c r="P21" s="279">
        <v>0</v>
      </c>
      <c r="Q21" s="280"/>
      <c r="R21" s="281"/>
      <c r="S21" s="267">
        <f t="shared" ref="S21:S25" si="0">M21+P21</f>
        <v>0</v>
      </c>
      <c r="T21" s="268"/>
      <c r="U21" s="269"/>
      <c r="V21" s="102"/>
      <c r="W21" s="270">
        <v>0.52916666666666667</v>
      </c>
      <c r="X21" s="234"/>
      <c r="Y21" s="247">
        <v>0.5541666666666667</v>
      </c>
      <c r="Z21" s="246"/>
      <c r="AA21" s="233"/>
      <c r="AB21" s="234"/>
      <c r="AC21" s="233"/>
      <c r="AD21" s="234"/>
      <c r="AE21" s="248"/>
      <c r="AF21" s="249"/>
      <c r="AG21" s="248">
        <v>2.4999999999999998E-2</v>
      </c>
      <c r="AH21" s="249"/>
      <c r="AI21" s="233"/>
      <c r="AJ21" s="234"/>
      <c r="AK21" s="233"/>
      <c r="AL21" s="235"/>
      <c r="AM21" s="271" t="s">
        <v>121</v>
      </c>
      <c r="AN21" s="237"/>
      <c r="AO21" s="237"/>
      <c r="AP21" s="237"/>
      <c r="AQ21" s="237"/>
      <c r="AR21" s="237"/>
      <c r="AS21" s="237"/>
      <c r="AT21" s="237"/>
      <c r="AU21" s="237"/>
      <c r="AV21" s="238"/>
    </row>
    <row r="22" spans="1:48" ht="15.75" customHeight="1">
      <c r="A22" s="4"/>
      <c r="B22" s="36">
        <v>3</v>
      </c>
      <c r="C22" s="282" t="s">
        <v>38</v>
      </c>
      <c r="D22" s="283"/>
      <c r="E22" s="283"/>
      <c r="F22" s="283"/>
      <c r="G22" s="283"/>
      <c r="H22" s="283"/>
      <c r="I22" s="283"/>
      <c r="J22" s="283"/>
      <c r="K22" s="283"/>
      <c r="L22" s="16"/>
      <c r="M22" s="279">
        <v>0</v>
      </c>
      <c r="N22" s="280"/>
      <c r="O22" s="281"/>
      <c r="P22" s="279">
        <v>0</v>
      </c>
      <c r="Q22" s="280"/>
      <c r="R22" s="281"/>
      <c r="S22" s="267">
        <f t="shared" si="0"/>
        <v>0</v>
      </c>
      <c r="T22" s="268"/>
      <c r="U22" s="269"/>
      <c r="V22" s="103"/>
      <c r="W22" s="270">
        <v>0.5541666666666667</v>
      </c>
      <c r="X22" s="234"/>
      <c r="Y22" s="247">
        <v>0.67083333333333339</v>
      </c>
      <c r="Z22" s="246"/>
      <c r="AA22" s="233"/>
      <c r="AB22" s="234"/>
      <c r="AC22" s="233"/>
      <c r="AD22" s="234"/>
      <c r="AE22" s="248"/>
      <c r="AF22" s="249"/>
      <c r="AG22" s="248"/>
      <c r="AH22" s="249"/>
      <c r="AI22" s="233"/>
      <c r="AJ22" s="234"/>
      <c r="AK22" s="233">
        <v>0.11666666666666665</v>
      </c>
      <c r="AL22" s="235"/>
      <c r="AM22" s="271" t="s">
        <v>126</v>
      </c>
      <c r="AN22" s="237"/>
      <c r="AO22" s="237"/>
      <c r="AP22" s="237"/>
      <c r="AQ22" s="237"/>
      <c r="AR22" s="237"/>
      <c r="AS22" s="237"/>
      <c r="AT22" s="237"/>
      <c r="AU22" s="237"/>
      <c r="AV22" s="238"/>
    </row>
    <row r="23" spans="1:48" ht="15.75" customHeight="1">
      <c r="A23" s="4"/>
      <c r="B23" s="36">
        <v>4</v>
      </c>
      <c r="C23" s="282" t="s">
        <v>39</v>
      </c>
      <c r="D23" s="283"/>
      <c r="E23" s="283"/>
      <c r="F23" s="283"/>
      <c r="G23" s="283"/>
      <c r="H23" s="283"/>
      <c r="I23" s="283"/>
      <c r="J23" s="283"/>
      <c r="K23" s="283"/>
      <c r="L23" s="16"/>
      <c r="M23" s="279">
        <v>0</v>
      </c>
      <c r="N23" s="280"/>
      <c r="O23" s="281"/>
      <c r="P23" s="279">
        <v>0</v>
      </c>
      <c r="Q23" s="280"/>
      <c r="R23" s="281"/>
      <c r="S23" s="267">
        <f t="shared" si="0"/>
        <v>0</v>
      </c>
      <c r="T23" s="268"/>
      <c r="U23" s="269"/>
      <c r="V23" s="103"/>
      <c r="W23" s="270">
        <v>0.67083333333333339</v>
      </c>
      <c r="X23" s="234"/>
      <c r="Y23" s="247">
        <v>0.70694444444444438</v>
      </c>
      <c r="Z23" s="246"/>
      <c r="AA23" s="233"/>
      <c r="AB23" s="234"/>
      <c r="AC23" s="233"/>
      <c r="AD23" s="234"/>
      <c r="AE23" s="233"/>
      <c r="AF23" s="234"/>
      <c r="AG23" s="248">
        <v>3.6111111111111115E-2</v>
      </c>
      <c r="AH23" s="249"/>
      <c r="AI23" s="233"/>
      <c r="AJ23" s="234"/>
      <c r="AK23" s="233"/>
      <c r="AL23" s="235"/>
      <c r="AM23" s="271" t="s">
        <v>122</v>
      </c>
      <c r="AN23" s="237"/>
      <c r="AO23" s="237"/>
      <c r="AP23" s="237"/>
      <c r="AQ23" s="237"/>
      <c r="AR23" s="237"/>
      <c r="AS23" s="237"/>
      <c r="AT23" s="237"/>
      <c r="AU23" s="237"/>
      <c r="AV23" s="238"/>
    </row>
    <row r="24" spans="1:48" ht="15.75" customHeight="1">
      <c r="A24" s="4"/>
      <c r="B24" s="36">
        <v>5</v>
      </c>
      <c r="C24" s="251" t="s">
        <v>40</v>
      </c>
      <c r="D24" s="156"/>
      <c r="E24" s="156"/>
      <c r="F24" s="156"/>
      <c r="G24" s="156"/>
      <c r="H24" s="156"/>
      <c r="I24" s="156"/>
      <c r="J24" s="156"/>
      <c r="K24" s="156"/>
      <c r="L24" s="16"/>
      <c r="M24" s="279">
        <v>0</v>
      </c>
      <c r="N24" s="280"/>
      <c r="O24" s="281"/>
      <c r="P24" s="279">
        <v>0</v>
      </c>
      <c r="Q24" s="280"/>
      <c r="R24" s="281"/>
      <c r="S24" s="267">
        <v>0</v>
      </c>
      <c r="T24" s="268"/>
      <c r="U24" s="269"/>
      <c r="V24" s="103"/>
      <c r="W24" s="245">
        <v>0.70694444444444438</v>
      </c>
      <c r="X24" s="246"/>
      <c r="Y24" s="247">
        <v>1</v>
      </c>
      <c r="Z24" s="246"/>
      <c r="AA24" s="233"/>
      <c r="AB24" s="234"/>
      <c r="AC24" s="233"/>
      <c r="AD24" s="234"/>
      <c r="AE24" s="231"/>
      <c r="AF24" s="232"/>
      <c r="AG24" s="233"/>
      <c r="AH24" s="234"/>
      <c r="AI24" s="264"/>
      <c r="AJ24" s="264"/>
      <c r="AK24" s="265">
        <v>0.29305555555555557</v>
      </c>
      <c r="AL24" s="266"/>
      <c r="AM24" s="271" t="s">
        <v>123</v>
      </c>
      <c r="AN24" s="237"/>
      <c r="AO24" s="237"/>
      <c r="AP24" s="237"/>
      <c r="AQ24" s="237"/>
      <c r="AR24" s="237"/>
      <c r="AS24" s="237"/>
      <c r="AT24" s="237"/>
      <c r="AU24" s="237"/>
      <c r="AV24" s="238"/>
    </row>
    <row r="25" spans="1:48" ht="15.75" customHeight="1" thickBot="1">
      <c r="A25" s="4"/>
      <c r="B25" s="37">
        <v>6</v>
      </c>
      <c r="C25" s="272" t="s">
        <v>41</v>
      </c>
      <c r="D25" s="136"/>
      <c r="E25" s="136"/>
      <c r="F25" s="136"/>
      <c r="G25" s="136"/>
      <c r="H25" s="136"/>
      <c r="I25" s="136"/>
      <c r="J25" s="136"/>
      <c r="K25" s="136"/>
      <c r="L25" s="38"/>
      <c r="M25" s="273">
        <v>0</v>
      </c>
      <c r="N25" s="274"/>
      <c r="O25" s="275"/>
      <c r="P25" s="273">
        <v>0</v>
      </c>
      <c r="Q25" s="274"/>
      <c r="R25" s="275"/>
      <c r="S25" s="276">
        <f t="shared" si="0"/>
        <v>0</v>
      </c>
      <c r="T25" s="277"/>
      <c r="U25" s="278"/>
      <c r="V25" s="103"/>
      <c r="W25" s="245"/>
      <c r="X25" s="250"/>
      <c r="Y25" s="247"/>
      <c r="Z25" s="246"/>
      <c r="AA25" s="233"/>
      <c r="AB25" s="234"/>
      <c r="AC25" s="233"/>
      <c r="AD25" s="234"/>
      <c r="AE25" s="233"/>
      <c r="AF25" s="234"/>
      <c r="AG25" s="248"/>
      <c r="AH25" s="249"/>
      <c r="AI25" s="233"/>
      <c r="AJ25" s="234"/>
      <c r="AK25" s="233"/>
      <c r="AL25" s="235"/>
      <c r="AM25" s="236"/>
      <c r="AN25" s="237"/>
      <c r="AO25" s="237"/>
      <c r="AP25" s="237"/>
      <c r="AQ25" s="237"/>
      <c r="AR25" s="237"/>
      <c r="AS25" s="237"/>
      <c r="AT25" s="237"/>
      <c r="AU25" s="237"/>
      <c r="AV25" s="238"/>
    </row>
    <row r="26" spans="1:48" ht="15.75" customHeight="1" thickTop="1" thickBot="1">
      <c r="A26" s="4"/>
      <c r="B26" s="34" t="s">
        <v>42</v>
      </c>
      <c r="C26" s="218" t="s">
        <v>43</v>
      </c>
      <c r="D26" s="206"/>
      <c r="E26" s="206"/>
      <c r="F26" s="206"/>
      <c r="G26" s="206"/>
      <c r="H26" s="206"/>
      <c r="I26" s="206"/>
      <c r="J26" s="206"/>
      <c r="K26" s="206"/>
      <c r="L26" s="219"/>
      <c r="M26" s="218" t="s">
        <v>34</v>
      </c>
      <c r="N26" s="206"/>
      <c r="O26" s="219"/>
      <c r="P26" s="218" t="s">
        <v>35</v>
      </c>
      <c r="Q26" s="206"/>
      <c r="R26" s="219"/>
      <c r="S26" s="261" t="s">
        <v>44</v>
      </c>
      <c r="T26" s="262"/>
      <c r="U26" s="263"/>
      <c r="V26" s="103"/>
      <c r="W26" s="245"/>
      <c r="X26" s="246"/>
      <c r="Y26" s="250"/>
      <c r="Z26" s="250"/>
      <c r="AA26" s="233"/>
      <c r="AB26" s="234"/>
      <c r="AC26" s="233"/>
      <c r="AD26" s="234"/>
      <c r="AE26" s="231"/>
      <c r="AF26" s="232"/>
      <c r="AG26" s="233"/>
      <c r="AH26" s="234"/>
      <c r="AI26" s="233"/>
      <c r="AJ26" s="234"/>
      <c r="AK26" s="233"/>
      <c r="AL26" s="235"/>
      <c r="AM26" s="236"/>
      <c r="AN26" s="237"/>
      <c r="AO26" s="237"/>
      <c r="AP26" s="237"/>
      <c r="AQ26" s="237"/>
      <c r="AR26" s="237"/>
      <c r="AS26" s="237"/>
      <c r="AT26" s="237"/>
      <c r="AU26" s="237"/>
      <c r="AV26" s="238"/>
    </row>
    <row r="27" spans="1:48" ht="15.75" customHeight="1" thickTop="1">
      <c r="A27" s="4"/>
      <c r="B27" s="35">
        <v>1</v>
      </c>
      <c r="C27" s="252" t="s">
        <v>45</v>
      </c>
      <c r="D27" s="253"/>
      <c r="E27" s="253"/>
      <c r="F27" s="253"/>
      <c r="G27" s="253"/>
      <c r="H27" s="253"/>
      <c r="I27" s="253"/>
      <c r="J27" s="253"/>
      <c r="K27" s="253"/>
      <c r="L27" s="254"/>
      <c r="M27" s="255">
        <v>0</v>
      </c>
      <c r="N27" s="256"/>
      <c r="O27" s="257"/>
      <c r="P27" s="255">
        <v>0</v>
      </c>
      <c r="Q27" s="256"/>
      <c r="R27" s="257"/>
      <c r="S27" s="258">
        <f t="shared" ref="S27:S32" si="1">M27+P27</f>
        <v>0</v>
      </c>
      <c r="T27" s="259"/>
      <c r="U27" s="260"/>
      <c r="V27" s="29"/>
      <c r="W27" s="245"/>
      <c r="X27" s="246"/>
      <c r="Y27" s="250"/>
      <c r="Z27" s="246"/>
      <c r="AA27" s="233"/>
      <c r="AB27" s="234"/>
      <c r="AC27" s="233"/>
      <c r="AD27" s="234"/>
      <c r="AE27" s="231"/>
      <c r="AF27" s="232"/>
      <c r="AG27" s="231"/>
      <c r="AH27" s="232"/>
      <c r="AI27" s="233"/>
      <c r="AJ27" s="234"/>
      <c r="AK27" s="233"/>
      <c r="AL27" s="234"/>
      <c r="AM27" s="236"/>
      <c r="AN27" s="237"/>
      <c r="AO27" s="237"/>
      <c r="AP27" s="237"/>
      <c r="AQ27" s="237"/>
      <c r="AR27" s="237"/>
      <c r="AS27" s="237"/>
      <c r="AT27" s="237"/>
      <c r="AU27" s="237"/>
      <c r="AV27" s="238"/>
    </row>
    <row r="28" spans="1:48" ht="15.75" customHeight="1">
      <c r="A28" s="4"/>
      <c r="B28" s="36">
        <v>2</v>
      </c>
      <c r="C28" s="251" t="s">
        <v>46</v>
      </c>
      <c r="D28" s="156"/>
      <c r="E28" s="156"/>
      <c r="F28" s="156"/>
      <c r="G28" s="156"/>
      <c r="H28" s="156"/>
      <c r="I28" s="156"/>
      <c r="J28" s="156"/>
      <c r="K28" s="156"/>
      <c r="L28" s="157"/>
      <c r="M28" s="239">
        <v>0</v>
      </c>
      <c r="N28" s="240"/>
      <c r="O28" s="241"/>
      <c r="P28" s="239">
        <v>0</v>
      </c>
      <c r="Q28" s="240"/>
      <c r="R28" s="241"/>
      <c r="S28" s="242">
        <f t="shared" si="1"/>
        <v>0</v>
      </c>
      <c r="T28" s="243"/>
      <c r="U28" s="244"/>
      <c r="V28" s="30"/>
      <c r="W28" s="245"/>
      <c r="X28" s="250"/>
      <c r="Y28" s="247"/>
      <c r="Z28" s="246"/>
      <c r="AA28" s="233"/>
      <c r="AB28" s="234"/>
      <c r="AC28" s="233"/>
      <c r="AD28" s="234"/>
      <c r="AE28" s="248"/>
      <c r="AF28" s="249"/>
      <c r="AG28" s="233"/>
      <c r="AH28" s="234"/>
      <c r="AI28" s="233"/>
      <c r="AJ28" s="234"/>
      <c r="AK28" s="233"/>
      <c r="AL28" s="235"/>
      <c r="AM28" s="236"/>
      <c r="AN28" s="237"/>
      <c r="AO28" s="237"/>
      <c r="AP28" s="237"/>
      <c r="AQ28" s="237"/>
      <c r="AR28" s="237"/>
      <c r="AS28" s="237"/>
      <c r="AT28" s="237"/>
      <c r="AU28" s="237"/>
      <c r="AV28" s="238"/>
    </row>
    <row r="29" spans="1:48" ht="15.75" customHeight="1">
      <c r="A29" s="4"/>
      <c r="B29" s="13"/>
      <c r="C29" s="39" t="s">
        <v>19</v>
      </c>
      <c r="D29" s="156" t="s">
        <v>47</v>
      </c>
      <c r="E29" s="156"/>
      <c r="F29" s="156"/>
      <c r="G29" s="156"/>
      <c r="H29" s="156"/>
      <c r="I29" s="156"/>
      <c r="J29" s="156"/>
      <c r="K29" s="156"/>
      <c r="L29" s="157"/>
      <c r="M29" s="239">
        <v>0</v>
      </c>
      <c r="N29" s="240"/>
      <c r="O29" s="241"/>
      <c r="P29" s="239">
        <v>0</v>
      </c>
      <c r="Q29" s="240"/>
      <c r="R29" s="241"/>
      <c r="S29" s="242">
        <f t="shared" si="1"/>
        <v>0</v>
      </c>
      <c r="T29" s="243"/>
      <c r="U29" s="244"/>
      <c r="V29" s="30"/>
      <c r="W29" s="245"/>
      <c r="X29" s="246"/>
      <c r="Y29" s="250"/>
      <c r="Z29" s="250"/>
      <c r="AA29" s="233"/>
      <c r="AB29" s="234"/>
      <c r="AC29" s="233"/>
      <c r="AD29" s="234"/>
      <c r="AE29" s="248"/>
      <c r="AF29" s="249"/>
      <c r="AG29" s="233"/>
      <c r="AH29" s="234"/>
      <c r="AI29" s="233"/>
      <c r="AJ29" s="234"/>
      <c r="AK29" s="233"/>
      <c r="AL29" s="235"/>
      <c r="AM29" s="236"/>
      <c r="AN29" s="237"/>
      <c r="AO29" s="237"/>
      <c r="AP29" s="237"/>
      <c r="AQ29" s="237"/>
      <c r="AR29" s="237"/>
      <c r="AS29" s="237"/>
      <c r="AT29" s="237"/>
      <c r="AU29" s="237"/>
      <c r="AV29" s="238"/>
    </row>
    <row r="30" spans="1:48" ht="15.75" customHeight="1">
      <c r="A30" s="4"/>
      <c r="B30" s="13"/>
      <c r="C30" s="39" t="s">
        <v>19</v>
      </c>
      <c r="D30" s="156" t="s">
        <v>48</v>
      </c>
      <c r="E30" s="156"/>
      <c r="F30" s="156"/>
      <c r="G30" s="156"/>
      <c r="H30" s="156"/>
      <c r="I30" s="156"/>
      <c r="J30" s="156"/>
      <c r="K30" s="156"/>
      <c r="L30" s="157"/>
      <c r="M30" s="239">
        <v>0</v>
      </c>
      <c r="N30" s="240"/>
      <c r="O30" s="241"/>
      <c r="P30" s="239">
        <v>0</v>
      </c>
      <c r="Q30" s="240"/>
      <c r="R30" s="241"/>
      <c r="S30" s="242">
        <f t="shared" si="1"/>
        <v>0</v>
      </c>
      <c r="T30" s="243"/>
      <c r="U30" s="244"/>
      <c r="V30" s="30"/>
      <c r="W30" s="245"/>
      <c r="X30" s="246"/>
      <c r="Y30" s="247"/>
      <c r="Z30" s="246"/>
      <c r="AA30" s="233"/>
      <c r="AB30" s="234"/>
      <c r="AC30" s="233"/>
      <c r="AD30" s="234"/>
      <c r="AE30" s="233"/>
      <c r="AF30" s="234"/>
      <c r="AG30" s="231"/>
      <c r="AH30" s="232"/>
      <c r="AI30" s="233"/>
      <c r="AJ30" s="234"/>
      <c r="AK30" s="233"/>
      <c r="AL30" s="235"/>
      <c r="AM30" s="236"/>
      <c r="AN30" s="237"/>
      <c r="AO30" s="237"/>
      <c r="AP30" s="237"/>
      <c r="AQ30" s="237"/>
      <c r="AR30" s="237"/>
      <c r="AS30" s="237"/>
      <c r="AT30" s="237"/>
      <c r="AU30" s="237"/>
      <c r="AV30" s="238"/>
    </row>
    <row r="31" spans="1:48" ht="15.75" customHeight="1">
      <c r="A31" s="4"/>
      <c r="B31" s="13"/>
      <c r="C31" s="39" t="s">
        <v>19</v>
      </c>
      <c r="D31" s="156" t="s">
        <v>49</v>
      </c>
      <c r="E31" s="156"/>
      <c r="F31" s="156"/>
      <c r="G31" s="156"/>
      <c r="H31" s="156"/>
      <c r="I31" s="156"/>
      <c r="J31" s="156"/>
      <c r="K31" s="156"/>
      <c r="L31" s="157"/>
      <c r="M31" s="239">
        <v>0</v>
      </c>
      <c r="N31" s="240"/>
      <c r="O31" s="241"/>
      <c r="P31" s="239">
        <v>0</v>
      </c>
      <c r="Q31" s="240"/>
      <c r="R31" s="241"/>
      <c r="S31" s="242">
        <f t="shared" si="1"/>
        <v>0</v>
      </c>
      <c r="T31" s="243"/>
      <c r="U31" s="244"/>
      <c r="V31" s="30"/>
      <c r="W31" s="245"/>
      <c r="X31" s="246"/>
      <c r="Y31" s="247"/>
      <c r="Z31" s="246"/>
      <c r="AA31" s="248"/>
      <c r="AB31" s="249"/>
      <c r="AC31" s="233"/>
      <c r="AD31" s="234"/>
      <c r="AE31" s="248"/>
      <c r="AF31" s="249"/>
      <c r="AG31" s="233"/>
      <c r="AH31" s="234"/>
      <c r="AI31" s="233"/>
      <c r="AJ31" s="234"/>
      <c r="AK31" s="233"/>
      <c r="AL31" s="235"/>
      <c r="AM31" s="236"/>
      <c r="AN31" s="237"/>
      <c r="AO31" s="237"/>
      <c r="AP31" s="237"/>
      <c r="AQ31" s="237"/>
      <c r="AR31" s="237"/>
      <c r="AS31" s="237"/>
      <c r="AT31" s="237"/>
      <c r="AU31" s="237"/>
      <c r="AV31" s="238"/>
    </row>
    <row r="32" spans="1:48" ht="15.75" customHeight="1" thickBot="1">
      <c r="A32" s="4"/>
      <c r="B32" s="21"/>
      <c r="C32" s="40" t="s">
        <v>19</v>
      </c>
      <c r="D32" s="136" t="s">
        <v>50</v>
      </c>
      <c r="E32" s="136"/>
      <c r="F32" s="136"/>
      <c r="G32" s="136"/>
      <c r="H32" s="136"/>
      <c r="I32" s="136"/>
      <c r="J32" s="136"/>
      <c r="K32" s="136"/>
      <c r="L32" s="137"/>
      <c r="M32" s="220">
        <v>0</v>
      </c>
      <c r="N32" s="221"/>
      <c r="O32" s="222"/>
      <c r="P32" s="220">
        <v>0</v>
      </c>
      <c r="Q32" s="221"/>
      <c r="R32" s="222"/>
      <c r="S32" s="223">
        <f t="shared" si="1"/>
        <v>0</v>
      </c>
      <c r="T32" s="224"/>
      <c r="U32" s="225"/>
      <c r="V32" s="30"/>
      <c r="W32" s="226" t="s">
        <v>87</v>
      </c>
      <c r="X32" s="227"/>
      <c r="Y32" s="227"/>
      <c r="Z32" s="228"/>
      <c r="AA32" s="229">
        <f>SUM(AA10:AB31)</f>
        <v>0</v>
      </c>
      <c r="AB32" s="230"/>
      <c r="AC32" s="202">
        <f>SUM(AC10:AD31)</f>
        <v>5.8333333333333334E-2</v>
      </c>
      <c r="AD32" s="203"/>
      <c r="AE32" s="229">
        <f>SUM(AE10:AF31)</f>
        <v>0</v>
      </c>
      <c r="AF32" s="230"/>
      <c r="AG32" s="202">
        <f>SUM(AG10:AH31)</f>
        <v>0.22222222222222224</v>
      </c>
      <c r="AH32" s="203"/>
      <c r="AI32" s="202">
        <f>SUM(AI10:AJ31)</f>
        <v>0</v>
      </c>
      <c r="AJ32" s="203"/>
      <c r="AK32" s="202">
        <f>SUM(AK10:AL31)</f>
        <v>0.71944444444444444</v>
      </c>
      <c r="AL32" s="204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>
      <c r="A35" s="4"/>
      <c r="B35" s="205" t="s">
        <v>53</v>
      </c>
      <c r="C35" s="206"/>
      <c r="D35" s="206"/>
      <c r="E35" s="206"/>
      <c r="F35" s="206"/>
      <c r="G35" s="206"/>
      <c r="H35" s="207"/>
      <c r="I35" s="208" t="s">
        <v>54</v>
      </c>
      <c r="J35" s="209"/>
      <c r="K35" s="210"/>
      <c r="L35" s="208" t="s">
        <v>55</v>
      </c>
      <c r="M35" s="209"/>
      <c r="N35" s="210"/>
      <c r="O35" s="208" t="s">
        <v>56</v>
      </c>
      <c r="P35" s="209"/>
      <c r="Q35" s="210"/>
      <c r="R35" s="47"/>
      <c r="S35" s="211" t="s">
        <v>57</v>
      </c>
      <c r="T35" s="176"/>
      <c r="U35" s="176"/>
      <c r="V35" s="176"/>
      <c r="W35" s="176"/>
      <c r="X35" s="177"/>
      <c r="Y35" s="212" t="s">
        <v>58</v>
      </c>
      <c r="Z35" s="213"/>
      <c r="AA35" s="213"/>
      <c r="AB35" s="214"/>
      <c r="AC35" s="215" t="s">
        <v>59</v>
      </c>
      <c r="AD35" s="216"/>
      <c r="AE35" s="216"/>
      <c r="AF35" s="217"/>
      <c r="AG35" s="218" t="s">
        <v>60</v>
      </c>
      <c r="AH35" s="206"/>
      <c r="AI35" s="206"/>
      <c r="AJ35" s="219"/>
      <c r="AK35" s="175" t="s">
        <v>61</v>
      </c>
      <c r="AL35" s="176"/>
      <c r="AM35" s="176"/>
      <c r="AN35" s="177"/>
      <c r="AO35" s="175" t="s">
        <v>62</v>
      </c>
      <c r="AP35" s="176"/>
      <c r="AQ35" s="177"/>
      <c r="AR35" s="175" t="s">
        <v>63</v>
      </c>
      <c r="AS35" s="176"/>
      <c r="AT35" s="176"/>
      <c r="AU35" s="176"/>
      <c r="AV35" s="178"/>
    </row>
    <row r="36" spans="1:48" ht="15.75" customHeight="1" thickTop="1">
      <c r="A36" s="4"/>
      <c r="B36" s="48" t="s">
        <v>64</v>
      </c>
      <c r="C36" s="41"/>
      <c r="D36" s="41"/>
      <c r="E36" s="41"/>
      <c r="F36" s="41"/>
      <c r="G36" s="41"/>
      <c r="H36" s="49"/>
      <c r="I36" s="179">
        <f>SUM(AA10:AB31)</f>
        <v>0</v>
      </c>
      <c r="J36" s="180"/>
      <c r="K36" s="181"/>
      <c r="L36" s="182">
        <v>0</v>
      </c>
      <c r="M36" s="183"/>
      <c r="N36" s="50" t="s">
        <v>65</v>
      </c>
      <c r="O36" s="184">
        <f t="shared" ref="O36:O41" si="2">(I36*24)*L36</f>
        <v>0</v>
      </c>
      <c r="P36" s="185"/>
      <c r="Q36" s="51" t="s">
        <v>65</v>
      </c>
      <c r="R36" s="52"/>
      <c r="S36" s="186" t="s">
        <v>66</v>
      </c>
      <c r="T36" s="187"/>
      <c r="U36" s="187"/>
      <c r="V36" s="187"/>
      <c r="W36" s="187"/>
      <c r="X36" s="188"/>
      <c r="Y36" s="189">
        <v>29328</v>
      </c>
      <c r="Z36" s="190"/>
      <c r="AA36" s="190"/>
      <c r="AB36" s="53" t="s">
        <v>65</v>
      </c>
      <c r="AC36" s="191">
        <v>781</v>
      </c>
      <c r="AD36" s="192"/>
      <c r="AE36" s="192"/>
      <c r="AF36" s="54" t="s">
        <v>65</v>
      </c>
      <c r="AG36" s="193">
        <v>0</v>
      </c>
      <c r="AH36" s="194"/>
      <c r="AI36" s="194"/>
      <c r="AJ36" s="53" t="s">
        <v>65</v>
      </c>
      <c r="AK36" s="195">
        <v>0</v>
      </c>
      <c r="AL36" s="196"/>
      <c r="AM36" s="196"/>
      <c r="AN36" s="53" t="s">
        <v>65</v>
      </c>
      <c r="AO36" s="197">
        <f>(Y36+AG36)-(AC36+AK36)</f>
        <v>28547</v>
      </c>
      <c r="AP36" s="198"/>
      <c r="AQ36" s="53" t="s">
        <v>65</v>
      </c>
      <c r="AR36" s="199" t="s">
        <v>124</v>
      </c>
      <c r="AS36" s="200"/>
      <c r="AT36" s="200"/>
      <c r="AU36" s="200"/>
      <c r="AV36" s="201"/>
    </row>
    <row r="37" spans="1:48" ht="15.75" customHeight="1">
      <c r="A37" s="4"/>
      <c r="B37" s="108" t="s">
        <v>67</v>
      </c>
      <c r="C37" s="55"/>
      <c r="D37" s="55"/>
      <c r="E37" s="55"/>
      <c r="F37" s="55"/>
      <c r="G37" s="55"/>
      <c r="H37" s="56"/>
      <c r="I37" s="146">
        <f>SUM(AC10:AD31)</f>
        <v>5.8333333333333334E-2</v>
      </c>
      <c r="J37" s="147"/>
      <c r="K37" s="148"/>
      <c r="L37" s="160">
        <v>120</v>
      </c>
      <c r="M37" s="161"/>
      <c r="N37" s="57" t="s">
        <v>65</v>
      </c>
      <c r="O37" s="162">
        <f t="shared" si="2"/>
        <v>168</v>
      </c>
      <c r="P37" s="163"/>
      <c r="Q37" s="58" t="s">
        <v>65</v>
      </c>
      <c r="R37" s="47"/>
      <c r="S37" s="164" t="s">
        <v>68</v>
      </c>
      <c r="T37" s="165"/>
      <c r="U37" s="165"/>
      <c r="V37" s="165"/>
      <c r="W37" s="165"/>
      <c r="X37" s="166"/>
      <c r="Y37" s="167">
        <v>62</v>
      </c>
      <c r="Z37" s="168"/>
      <c r="AA37" s="168"/>
      <c r="AB37" s="59" t="s">
        <v>65</v>
      </c>
      <c r="AC37" s="169">
        <v>4</v>
      </c>
      <c r="AD37" s="170"/>
      <c r="AE37" s="170"/>
      <c r="AF37" s="60" t="s">
        <v>65</v>
      </c>
      <c r="AG37" s="171">
        <v>0</v>
      </c>
      <c r="AH37" s="172"/>
      <c r="AI37" s="172"/>
      <c r="AJ37" s="59" t="s">
        <v>65</v>
      </c>
      <c r="AK37" s="144">
        <v>0</v>
      </c>
      <c r="AL37" s="145"/>
      <c r="AM37" s="145"/>
      <c r="AN37" s="59" t="s">
        <v>65</v>
      </c>
      <c r="AO37" s="173">
        <f>(Y37+AG37)-(AC37+AK37)</f>
        <v>58</v>
      </c>
      <c r="AP37" s="174"/>
      <c r="AQ37" s="59" t="s">
        <v>65</v>
      </c>
      <c r="AR37" s="123" t="s">
        <v>125</v>
      </c>
      <c r="AS37" s="124"/>
      <c r="AT37" s="124"/>
      <c r="AU37" s="124"/>
      <c r="AV37" s="125"/>
    </row>
    <row r="38" spans="1:48" ht="15.75" customHeight="1">
      <c r="A38" s="4"/>
      <c r="B38" s="108" t="s">
        <v>69</v>
      </c>
      <c r="C38" s="55"/>
      <c r="D38" s="55"/>
      <c r="E38" s="55"/>
      <c r="F38" s="55"/>
      <c r="G38" s="55"/>
      <c r="H38" s="56"/>
      <c r="I38" s="146">
        <f>SUM(AE10:AF31)</f>
        <v>0</v>
      </c>
      <c r="J38" s="147"/>
      <c r="K38" s="148"/>
      <c r="L38" s="160">
        <v>89</v>
      </c>
      <c r="M38" s="161"/>
      <c r="N38" s="57" t="s">
        <v>65</v>
      </c>
      <c r="O38" s="162">
        <f t="shared" si="2"/>
        <v>0</v>
      </c>
      <c r="P38" s="163"/>
      <c r="Q38" s="58" t="s">
        <v>65</v>
      </c>
      <c r="R38" s="47"/>
      <c r="S38" s="155" t="s">
        <v>70</v>
      </c>
      <c r="T38" s="156"/>
      <c r="U38" s="156"/>
      <c r="V38" s="156"/>
      <c r="W38" s="156"/>
      <c r="X38" s="157"/>
      <c r="Y38" s="158">
        <v>0</v>
      </c>
      <c r="Z38" s="159"/>
      <c r="AA38" s="159"/>
      <c r="AB38" s="59" t="s">
        <v>65</v>
      </c>
      <c r="AC38" s="61"/>
      <c r="AD38" s="62"/>
      <c r="AE38" s="62"/>
      <c r="AF38" s="63"/>
      <c r="AG38" s="144">
        <v>0</v>
      </c>
      <c r="AH38" s="145"/>
      <c r="AI38" s="145"/>
      <c r="AJ38" s="59" t="s">
        <v>65</v>
      </c>
      <c r="AK38" s="144">
        <v>0</v>
      </c>
      <c r="AL38" s="145"/>
      <c r="AM38" s="145"/>
      <c r="AN38" s="59" t="s">
        <v>65</v>
      </c>
      <c r="AO38" s="121">
        <f t="shared" ref="AO38:AO43" si="3">(Y38+AG38)-(AC38+AK38)</f>
        <v>0</v>
      </c>
      <c r="AP38" s="122"/>
      <c r="AQ38" s="59" t="s">
        <v>65</v>
      </c>
      <c r="AR38" s="123"/>
      <c r="AS38" s="124"/>
      <c r="AT38" s="124"/>
      <c r="AU38" s="124"/>
      <c r="AV38" s="125"/>
    </row>
    <row r="39" spans="1:48" ht="15.75" customHeight="1">
      <c r="A39" s="4"/>
      <c r="B39" s="108" t="s">
        <v>71</v>
      </c>
      <c r="C39" s="55"/>
      <c r="D39" s="55"/>
      <c r="E39" s="55"/>
      <c r="F39" s="55"/>
      <c r="G39" s="55"/>
      <c r="H39" s="56"/>
      <c r="I39" s="146">
        <f>SUM(AG10:AH31)</f>
        <v>0.22222222222222224</v>
      </c>
      <c r="J39" s="147"/>
      <c r="K39" s="148"/>
      <c r="L39" s="160">
        <v>89</v>
      </c>
      <c r="M39" s="161"/>
      <c r="N39" s="57" t="s">
        <v>65</v>
      </c>
      <c r="O39" s="162">
        <f t="shared" si="2"/>
        <v>474.66666666666674</v>
      </c>
      <c r="P39" s="163"/>
      <c r="Q39" s="58" t="s">
        <v>65</v>
      </c>
      <c r="R39" s="47"/>
      <c r="S39" s="155" t="s">
        <v>72</v>
      </c>
      <c r="T39" s="156"/>
      <c r="U39" s="156"/>
      <c r="V39" s="156"/>
      <c r="W39" s="156"/>
      <c r="X39" s="157"/>
      <c r="Y39" s="158">
        <v>0</v>
      </c>
      <c r="Z39" s="159"/>
      <c r="AA39" s="159"/>
      <c r="AB39" s="60" t="s">
        <v>73</v>
      </c>
      <c r="AC39" s="61"/>
      <c r="AD39" s="62"/>
      <c r="AE39" s="62"/>
      <c r="AF39" s="64"/>
      <c r="AG39" s="144">
        <v>0</v>
      </c>
      <c r="AH39" s="145"/>
      <c r="AI39" s="145"/>
      <c r="AJ39" s="60" t="s">
        <v>73</v>
      </c>
      <c r="AK39" s="144">
        <v>0</v>
      </c>
      <c r="AL39" s="145"/>
      <c r="AM39" s="145"/>
      <c r="AN39" s="60" t="s">
        <v>73</v>
      </c>
      <c r="AO39" s="121">
        <f t="shared" si="3"/>
        <v>0</v>
      </c>
      <c r="AP39" s="122"/>
      <c r="AQ39" s="60" t="s">
        <v>73</v>
      </c>
      <c r="AR39" s="123"/>
      <c r="AS39" s="124"/>
      <c r="AT39" s="124"/>
      <c r="AU39" s="124"/>
      <c r="AV39" s="125"/>
    </row>
    <row r="40" spans="1:48" ht="15.75" customHeight="1">
      <c r="A40" s="4"/>
      <c r="B40" s="108" t="s">
        <v>74</v>
      </c>
      <c r="C40" s="55"/>
      <c r="D40" s="55"/>
      <c r="E40" s="55"/>
      <c r="F40" s="55"/>
      <c r="G40" s="55"/>
      <c r="H40" s="56"/>
      <c r="I40" s="146">
        <f>SUM(AI10:AJ31)</f>
        <v>0</v>
      </c>
      <c r="J40" s="147"/>
      <c r="K40" s="148"/>
      <c r="L40" s="160">
        <v>0</v>
      </c>
      <c r="M40" s="161"/>
      <c r="N40" s="57" t="s">
        <v>65</v>
      </c>
      <c r="O40" s="162">
        <f t="shared" si="2"/>
        <v>0</v>
      </c>
      <c r="P40" s="163"/>
      <c r="Q40" s="58" t="s">
        <v>65</v>
      </c>
      <c r="R40" s="52"/>
      <c r="S40" s="155" t="s">
        <v>75</v>
      </c>
      <c r="T40" s="156"/>
      <c r="U40" s="156"/>
      <c r="V40" s="156"/>
      <c r="W40" s="156"/>
      <c r="X40" s="157"/>
      <c r="Y40" s="158">
        <v>0</v>
      </c>
      <c r="Z40" s="159"/>
      <c r="AA40" s="159"/>
      <c r="AB40" s="60" t="s">
        <v>73</v>
      </c>
      <c r="AC40" s="61"/>
      <c r="AD40" s="62"/>
      <c r="AE40" s="62"/>
      <c r="AF40" s="64"/>
      <c r="AG40" s="144">
        <v>0</v>
      </c>
      <c r="AH40" s="145"/>
      <c r="AI40" s="145"/>
      <c r="AJ40" s="60" t="s">
        <v>73</v>
      </c>
      <c r="AK40" s="144">
        <v>0</v>
      </c>
      <c r="AL40" s="145"/>
      <c r="AM40" s="145"/>
      <c r="AN40" s="60" t="s">
        <v>73</v>
      </c>
      <c r="AO40" s="121">
        <f t="shared" si="3"/>
        <v>0</v>
      </c>
      <c r="AP40" s="122"/>
      <c r="AQ40" s="60" t="s">
        <v>73</v>
      </c>
      <c r="AR40" s="123"/>
      <c r="AS40" s="124"/>
      <c r="AT40" s="124"/>
      <c r="AU40" s="124"/>
      <c r="AV40" s="125"/>
    </row>
    <row r="41" spans="1:48" ht="15.75" customHeight="1">
      <c r="A41" s="4"/>
      <c r="B41" s="108" t="s">
        <v>76</v>
      </c>
      <c r="C41" s="55"/>
      <c r="D41" s="55"/>
      <c r="E41" s="55"/>
      <c r="F41" s="55"/>
      <c r="G41" s="55"/>
      <c r="H41" s="56"/>
      <c r="I41" s="146">
        <f>SUM(AK10:AL31)</f>
        <v>0.71944444444444444</v>
      </c>
      <c r="J41" s="147"/>
      <c r="K41" s="148"/>
      <c r="L41" s="160">
        <v>8</v>
      </c>
      <c r="M41" s="161"/>
      <c r="N41" s="57" t="s">
        <v>65</v>
      </c>
      <c r="O41" s="162">
        <f t="shared" si="2"/>
        <v>138.13333333333333</v>
      </c>
      <c r="P41" s="163"/>
      <c r="Q41" s="58" t="s">
        <v>65</v>
      </c>
      <c r="R41" s="52"/>
      <c r="S41" s="155" t="s">
        <v>77</v>
      </c>
      <c r="T41" s="156"/>
      <c r="U41" s="156"/>
      <c r="V41" s="156"/>
      <c r="W41" s="156"/>
      <c r="X41" s="157"/>
      <c r="Y41" s="158">
        <v>0</v>
      </c>
      <c r="Z41" s="159"/>
      <c r="AA41" s="159"/>
      <c r="AB41" s="60" t="s">
        <v>73</v>
      </c>
      <c r="AC41" s="61"/>
      <c r="AD41" s="62"/>
      <c r="AE41" s="62"/>
      <c r="AF41" s="64"/>
      <c r="AG41" s="144">
        <v>0</v>
      </c>
      <c r="AH41" s="145"/>
      <c r="AI41" s="145"/>
      <c r="AJ41" s="60" t="s">
        <v>73</v>
      </c>
      <c r="AK41" s="144">
        <v>0</v>
      </c>
      <c r="AL41" s="145"/>
      <c r="AM41" s="145"/>
      <c r="AN41" s="60" t="s">
        <v>73</v>
      </c>
      <c r="AO41" s="121">
        <f t="shared" si="3"/>
        <v>0</v>
      </c>
      <c r="AP41" s="122"/>
      <c r="AQ41" s="60" t="s">
        <v>73</v>
      </c>
      <c r="AR41" s="123"/>
      <c r="AS41" s="124"/>
      <c r="AT41" s="124"/>
      <c r="AU41" s="124"/>
      <c r="AV41" s="125"/>
    </row>
    <row r="42" spans="1:48" ht="15.75" customHeight="1">
      <c r="A42" s="4"/>
      <c r="B42" s="108" t="s">
        <v>78</v>
      </c>
      <c r="C42" s="55"/>
      <c r="D42" s="55"/>
      <c r="E42" s="55"/>
      <c r="F42" s="55"/>
      <c r="G42" s="55"/>
      <c r="H42" s="56"/>
      <c r="I42" s="146">
        <v>0</v>
      </c>
      <c r="J42" s="147"/>
      <c r="K42" s="148"/>
      <c r="L42" s="149"/>
      <c r="M42" s="150"/>
      <c r="N42" s="151"/>
      <c r="O42" s="152"/>
      <c r="P42" s="153"/>
      <c r="Q42" s="154"/>
      <c r="R42" s="52"/>
      <c r="S42" s="155" t="s">
        <v>79</v>
      </c>
      <c r="T42" s="156"/>
      <c r="U42" s="156"/>
      <c r="V42" s="156"/>
      <c r="W42" s="156"/>
      <c r="X42" s="157"/>
      <c r="Y42" s="158">
        <v>0</v>
      </c>
      <c r="Z42" s="159"/>
      <c r="AA42" s="159"/>
      <c r="AB42" s="60" t="s">
        <v>73</v>
      </c>
      <c r="AC42" s="61"/>
      <c r="AD42" s="62"/>
      <c r="AE42" s="62"/>
      <c r="AF42" s="64"/>
      <c r="AG42" s="144">
        <v>0</v>
      </c>
      <c r="AH42" s="145"/>
      <c r="AI42" s="145"/>
      <c r="AJ42" s="60" t="s">
        <v>73</v>
      </c>
      <c r="AK42" s="144">
        <v>0</v>
      </c>
      <c r="AL42" s="145"/>
      <c r="AM42" s="145"/>
      <c r="AN42" s="60" t="s">
        <v>73</v>
      </c>
      <c r="AO42" s="121">
        <f t="shared" si="3"/>
        <v>0</v>
      </c>
      <c r="AP42" s="122"/>
      <c r="AQ42" s="60" t="s">
        <v>73</v>
      </c>
      <c r="AR42" s="123"/>
      <c r="AS42" s="124"/>
      <c r="AT42" s="124"/>
      <c r="AU42" s="124"/>
      <c r="AV42" s="125"/>
    </row>
    <row r="43" spans="1:48" ht="15.75" customHeight="1" thickBot="1">
      <c r="A43" s="4"/>
      <c r="B43" s="107" t="s">
        <v>80</v>
      </c>
      <c r="C43" s="65"/>
      <c r="D43" s="65"/>
      <c r="E43" s="65"/>
      <c r="F43" s="65"/>
      <c r="G43" s="65"/>
      <c r="H43" s="4"/>
      <c r="I43" s="126">
        <v>0</v>
      </c>
      <c r="J43" s="127"/>
      <c r="K43" s="128"/>
      <c r="L43" s="129"/>
      <c r="M43" s="130"/>
      <c r="N43" s="131"/>
      <c r="O43" s="132"/>
      <c r="P43" s="133"/>
      <c r="Q43" s="134"/>
      <c r="R43" s="52"/>
      <c r="S43" s="135" t="s">
        <v>81</v>
      </c>
      <c r="T43" s="136"/>
      <c r="U43" s="136"/>
      <c r="V43" s="136"/>
      <c r="W43" s="136"/>
      <c r="X43" s="137"/>
      <c r="Y43" s="138">
        <v>0</v>
      </c>
      <c r="Z43" s="139"/>
      <c r="AA43" s="139"/>
      <c r="AB43" s="66" t="s">
        <v>73</v>
      </c>
      <c r="AC43" s="67"/>
      <c r="AD43" s="68"/>
      <c r="AE43" s="68"/>
      <c r="AF43" s="69"/>
      <c r="AG43" s="140">
        <v>0</v>
      </c>
      <c r="AH43" s="141"/>
      <c r="AI43" s="141"/>
      <c r="AJ43" s="66" t="s">
        <v>73</v>
      </c>
      <c r="AK43" s="140">
        <v>0</v>
      </c>
      <c r="AL43" s="141"/>
      <c r="AM43" s="141"/>
      <c r="AN43" s="66" t="s">
        <v>73</v>
      </c>
      <c r="AO43" s="142">
        <f t="shared" si="3"/>
        <v>0</v>
      </c>
      <c r="AP43" s="143"/>
      <c r="AQ43" s="66" t="s">
        <v>73</v>
      </c>
      <c r="AR43" s="109"/>
      <c r="AS43" s="110"/>
      <c r="AT43" s="110"/>
      <c r="AU43" s="110"/>
      <c r="AV43" s="111"/>
    </row>
    <row r="44" spans="1:48" ht="15.75" customHeight="1" thickTop="1" thickBot="1">
      <c r="A44" s="4"/>
      <c r="B44" s="29"/>
      <c r="C44" s="29"/>
      <c r="D44" s="70"/>
      <c r="E44" s="112" t="s">
        <v>82</v>
      </c>
      <c r="F44" s="112"/>
      <c r="G44" s="112"/>
      <c r="H44" s="113"/>
      <c r="I44" s="114">
        <f>SUM(I36:K43)</f>
        <v>1</v>
      </c>
      <c r="J44" s="115"/>
      <c r="K44" s="116"/>
      <c r="L44" s="117"/>
      <c r="M44" s="118"/>
      <c r="N44" s="71"/>
      <c r="O44" s="119">
        <f>SUM(O36:P41)</f>
        <v>780.80000000000007</v>
      </c>
      <c r="P44" s="120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>
      <c r="A52" s="4"/>
      <c r="B52" s="84" t="s">
        <v>91</v>
      </c>
      <c r="C52" s="85" t="s">
        <v>102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101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/>
    <row r="119" spans="1:48" s="2" customFormat="1" ht="11.25"/>
    <row r="120" spans="1:48" s="2" customFormat="1" ht="11.25"/>
    <row r="121" spans="1:48" s="2" customFormat="1" ht="11.25"/>
    <row r="122" spans="1:48" s="2" customFormat="1" ht="11.25"/>
    <row r="123" spans="1:48" s="2" customFormat="1" ht="11.25"/>
    <row r="124" spans="1:48" s="2" customFormat="1" ht="11.25"/>
    <row r="125" spans="1:48" s="2" customFormat="1" ht="11.25"/>
    <row r="126" spans="1:48" s="2" customFormat="1" ht="11.25"/>
    <row r="127" spans="1:48" s="2" customFormat="1" ht="11.25"/>
    <row r="128" spans="1:48" s="2" customFormat="1" ht="11.25"/>
    <row r="129" s="2" customFormat="1" ht="11.25"/>
    <row r="130" s="2" customFormat="1" ht="11.25"/>
    <row r="131" s="2" customFormat="1" ht="11.25"/>
    <row r="132" s="2" customFormat="1" ht="11.25"/>
    <row r="133" s="2" customFormat="1" ht="11.25"/>
    <row r="134" s="2" customFormat="1" ht="11.25"/>
    <row r="135" s="2" customFormat="1" ht="11.25"/>
    <row r="136" s="2" customFormat="1" ht="11.25"/>
    <row r="137" s="2" customFormat="1" ht="11.25"/>
    <row r="138" s="2" customFormat="1" ht="11.25"/>
    <row r="139" s="2" customFormat="1" ht="11.25"/>
    <row r="140" s="2" customFormat="1" ht="11.25"/>
    <row r="141" s="2" customFormat="1" ht="11.25"/>
    <row r="142" s="2" customFormat="1" ht="11.25"/>
    <row r="143" s="2" customFormat="1" ht="11.25"/>
    <row r="144" s="2" customFormat="1" ht="11.25"/>
    <row r="145" s="2" customFormat="1" ht="11.25"/>
    <row r="146" s="2" customFormat="1" ht="11.25"/>
    <row r="147" s="2" customFormat="1" ht="11.25"/>
    <row r="148" s="2" customFormat="1" ht="11.25"/>
    <row r="149" s="2" customFormat="1" ht="11.25"/>
    <row r="150" s="2" customFormat="1" ht="11.25"/>
    <row r="151" s="2" customFormat="1" ht="11.25"/>
    <row r="152" s="2" customFormat="1" ht="11.25"/>
    <row r="153" s="2" customFormat="1" ht="11.25"/>
    <row r="154" s="2" customFormat="1" ht="11.25"/>
    <row r="155" s="2" customFormat="1" ht="11.25"/>
    <row r="156" s="2" customFormat="1" ht="11.25"/>
    <row r="157" s="2" customFormat="1" ht="11.25"/>
    <row r="158" s="2" customFormat="1" ht="11.25"/>
    <row r="159" s="2" customFormat="1" ht="11.25"/>
    <row r="160" s="2" customFormat="1" ht="11.25"/>
    <row r="161" s="2" customFormat="1" ht="11.25"/>
    <row r="162" s="2" customFormat="1" ht="11.25"/>
    <row r="163" s="2" customFormat="1" ht="11.25"/>
    <row r="164" s="2" customFormat="1" ht="11.25"/>
    <row r="165" s="2" customFormat="1" ht="11.25"/>
    <row r="166" s="2" customFormat="1" ht="11.25"/>
    <row r="167" s="2" customFormat="1" ht="11.25"/>
    <row r="168" s="2" customFormat="1" ht="11.25"/>
    <row r="169" s="2" customFormat="1" ht="11.25"/>
    <row r="170" s="2" customFormat="1" ht="11.25"/>
    <row r="171" s="2" customFormat="1" ht="11.25"/>
    <row r="172" s="2" customFormat="1" ht="11.25"/>
    <row r="173" s="2" customFormat="1" ht="11.25"/>
    <row r="174" s="2" customFormat="1" ht="11.25"/>
    <row r="175" s="2" customFormat="1" ht="11.25"/>
    <row r="176" s="2" customFormat="1" ht="11.25"/>
    <row r="177" s="2" customFormat="1" ht="11.25"/>
    <row r="178" s="2" customFormat="1" ht="11.25"/>
    <row r="179" s="2" customFormat="1" ht="11.25"/>
    <row r="180" s="2" customFormat="1" ht="11.25"/>
    <row r="181" s="2" customFormat="1" ht="11.25"/>
    <row r="182" s="2" customFormat="1" ht="11.25"/>
    <row r="183" s="2" customFormat="1" ht="11.25"/>
    <row r="184" s="2" customFormat="1" ht="11.25"/>
    <row r="185" s="2" customFormat="1" ht="11.25"/>
    <row r="186" s="2" customFormat="1" ht="11.25"/>
    <row r="187" s="2" customFormat="1" ht="11.25"/>
    <row r="188" s="2" customFormat="1" ht="11.25"/>
    <row r="189" s="2" customFormat="1" ht="11.25"/>
    <row r="190" s="2" customFormat="1" ht="11.25"/>
    <row r="191" s="2" customFormat="1" ht="11.25"/>
    <row r="192" s="2" customFormat="1" ht="11.25"/>
    <row r="193" s="2" customFormat="1" ht="11.25"/>
    <row r="194" s="2" customFormat="1" ht="11.25"/>
    <row r="195" s="2" customFormat="1" ht="11.25"/>
    <row r="196" s="2" customFormat="1" ht="11.25"/>
    <row r="197" s="2" customFormat="1" ht="11.25"/>
    <row r="198" s="2" customFormat="1" ht="11.25"/>
    <row r="199" s="2" customFormat="1" ht="11.25"/>
    <row r="200" s="2" customFormat="1" ht="11.25"/>
    <row r="201" s="2" customFormat="1" ht="11.25"/>
    <row r="202" s="2" customFormat="1" ht="11.25"/>
    <row r="203" s="2" customFormat="1" ht="11.25"/>
    <row r="204" s="2" customFormat="1" ht="11.25"/>
    <row r="205" s="2" customFormat="1" ht="11.25"/>
    <row r="206" s="2" customFormat="1" ht="11.25"/>
    <row r="207" s="2" customFormat="1" ht="11.25"/>
    <row r="208" s="2" customFormat="1" ht="11.25"/>
    <row r="209" s="2" customFormat="1" ht="11.25"/>
    <row r="210" s="2" customFormat="1" ht="11.25"/>
    <row r="211" s="2" customFormat="1" ht="11.25"/>
    <row r="212" s="2" customFormat="1" ht="11.25"/>
    <row r="213" s="2" customFormat="1" ht="11.25"/>
    <row r="214" s="2" customFormat="1" ht="11.25"/>
    <row r="215" s="2" customFormat="1" ht="11.25"/>
    <row r="216" s="2" customFormat="1" ht="11.25"/>
    <row r="217" s="2" customFormat="1" ht="11.25"/>
    <row r="218" s="2" customFormat="1" ht="11.25"/>
    <row r="219" s="2" customFormat="1" ht="11.25"/>
    <row r="220" s="2" customFormat="1" ht="11.25"/>
    <row r="221" s="2" customFormat="1" ht="11.25"/>
    <row r="222" s="2" customFormat="1" ht="11.25"/>
    <row r="223" s="2" customFormat="1" ht="11.25"/>
    <row r="224" s="2" customFormat="1" ht="11.25"/>
    <row r="225" s="2" customFormat="1" ht="11.25"/>
    <row r="226" s="2" customFormat="1" ht="11.25"/>
    <row r="227" s="2" customFormat="1" ht="11.25"/>
    <row r="228" s="2" customFormat="1" ht="11.25"/>
    <row r="229" s="2" customFormat="1" ht="11.25"/>
    <row r="230" s="2" customFormat="1" ht="11.25"/>
    <row r="231" s="2" customFormat="1" ht="11.25"/>
    <row r="232" s="2" customFormat="1" ht="11.25"/>
    <row r="233" s="2" customFormat="1" ht="11.25"/>
    <row r="234" s="2" customFormat="1" ht="11.25"/>
    <row r="235" s="2" customFormat="1" ht="11.25"/>
    <row r="236" s="2" customFormat="1" ht="11.25"/>
    <row r="237" s="2" customFormat="1" ht="11.25"/>
    <row r="238" s="2" customFormat="1" ht="11.25"/>
    <row r="239" s="2" customFormat="1" ht="11.25"/>
    <row r="240" s="2" customFormat="1" ht="11.25"/>
    <row r="241" s="2" customFormat="1" ht="11.25"/>
    <row r="242" s="2" customFormat="1" ht="11.25"/>
    <row r="243" s="2" customFormat="1" ht="11.25"/>
    <row r="244" s="2" customFormat="1" ht="11.25"/>
    <row r="245" s="2" customFormat="1" ht="11.25"/>
    <row r="246" s="2" customFormat="1" ht="11.25"/>
    <row r="247" s="2" customFormat="1" ht="11.25"/>
    <row r="248" s="2" customFormat="1" ht="11.25"/>
    <row r="249" s="2" customFormat="1" ht="11.25"/>
    <row r="250" s="2" customFormat="1" ht="11.25"/>
    <row r="251" s="2" customFormat="1" ht="11.25"/>
    <row r="252" s="2" customFormat="1" ht="11.25"/>
    <row r="253" s="2" customFormat="1" ht="11.25"/>
    <row r="254" s="2" customFormat="1" ht="11.25"/>
    <row r="255" s="2" customFormat="1" ht="11.25"/>
    <row r="256" s="2" customFormat="1" ht="11.25"/>
    <row r="257" s="2" customFormat="1" ht="11.25"/>
    <row r="258" s="2" customFormat="1" ht="11.25"/>
    <row r="259" s="2" customFormat="1" ht="11.25"/>
    <row r="260" s="2" customFormat="1" ht="11.25"/>
    <row r="261" s="2" customFormat="1" ht="11.25"/>
    <row r="262" s="2" customFormat="1" ht="11.25"/>
    <row r="263" s="2" customFormat="1" ht="11.25"/>
    <row r="264" s="2" customFormat="1" ht="11.25"/>
    <row r="265" s="2" customFormat="1" ht="11.25"/>
    <row r="266" s="2" customFormat="1" ht="11.25"/>
    <row r="267" s="2" customFormat="1" ht="11.25"/>
    <row r="268" s="2" customFormat="1" ht="11.25"/>
    <row r="269" s="2" customFormat="1" ht="11.25"/>
    <row r="270" s="2" customFormat="1" ht="11.25"/>
    <row r="271" s="2" customFormat="1" ht="11.25"/>
    <row r="272" s="2" customFormat="1" ht="11.25"/>
    <row r="273" s="2" customFormat="1" ht="11.25"/>
    <row r="274" s="2" customFormat="1" ht="11.25"/>
    <row r="275" s="2" customFormat="1" ht="11.25"/>
    <row r="276" s="2" customFormat="1" ht="11.25"/>
    <row r="277" s="2" customFormat="1" ht="11.25"/>
    <row r="278" s="2" customFormat="1" ht="11.25"/>
    <row r="279" s="2" customFormat="1" ht="11.25"/>
    <row r="280" s="2" customFormat="1" ht="11.25"/>
    <row r="281" s="2" customFormat="1" ht="11.25"/>
    <row r="282" s="2" customFormat="1" ht="11.25"/>
    <row r="283" s="2" customFormat="1" ht="11.25"/>
    <row r="284" s="2" customFormat="1" ht="11.25"/>
    <row r="285" s="2" customFormat="1" ht="11.25"/>
    <row r="286" s="2" customFormat="1" ht="11.25"/>
    <row r="287" s="2" customFormat="1" ht="11.25"/>
    <row r="288" s="2" customFormat="1" ht="11.25"/>
    <row r="289" s="2" customFormat="1" ht="11.25"/>
    <row r="290" s="2" customFormat="1" ht="11.25"/>
    <row r="291" s="2" customFormat="1" ht="11.25"/>
    <row r="292" s="2" customFormat="1" ht="11.25"/>
    <row r="293" s="2" customFormat="1" ht="11.25"/>
    <row r="294" s="2" customFormat="1" ht="11.25"/>
    <row r="295" s="2" customFormat="1" ht="11.25"/>
    <row r="296" s="2" customFormat="1" ht="11.25"/>
    <row r="297" s="2" customFormat="1" ht="11.25"/>
    <row r="298" s="2" customFormat="1" ht="11.25"/>
    <row r="299" s="2" customFormat="1" ht="11.25"/>
    <row r="300" s="2" customFormat="1" ht="11.25"/>
    <row r="301" s="2" customFormat="1" ht="11.25"/>
    <row r="302" s="2" customFormat="1" ht="11.25"/>
    <row r="303" s="2" customFormat="1" ht="11.25"/>
    <row r="304" s="2" customFormat="1" ht="11.25"/>
    <row r="305" s="2" customFormat="1" ht="11.25"/>
    <row r="306" s="2" customFormat="1" ht="11.25"/>
    <row r="307" s="2" customFormat="1" ht="11.25"/>
    <row r="308" s="2" customFormat="1" ht="11.25"/>
    <row r="309" s="2" customFormat="1" ht="11.25"/>
    <row r="310" s="2" customFormat="1" ht="11.25"/>
    <row r="311" s="2" customFormat="1" ht="11.25"/>
    <row r="312" s="2" customFormat="1" ht="11.25"/>
    <row r="313" s="2" customFormat="1" ht="11.25"/>
    <row r="314" s="2" customFormat="1" ht="11.25"/>
    <row r="315" s="2" customFormat="1" ht="11.25"/>
    <row r="316" s="2" customFormat="1" ht="11.25"/>
    <row r="317" s="2" customFormat="1" ht="11.25"/>
    <row r="318" s="2" customFormat="1" ht="11.25"/>
    <row r="319" s="2" customFormat="1" ht="11.25"/>
    <row r="320" s="2" customFormat="1" ht="11.25"/>
    <row r="321" s="2" customFormat="1" ht="11.25"/>
    <row r="322" s="2" customFormat="1" ht="11.25"/>
    <row r="323" s="2" customFormat="1" ht="11.25"/>
    <row r="324" s="2" customFormat="1" ht="11.25"/>
    <row r="325" s="2" customFormat="1" ht="11.25"/>
    <row r="326" s="2" customFormat="1" ht="11.25"/>
    <row r="327" s="2" customFormat="1" ht="11.25"/>
    <row r="328" s="2" customFormat="1" ht="11.25"/>
    <row r="329" s="2" customFormat="1" ht="11.25"/>
    <row r="330" s="2" customFormat="1" ht="11.25"/>
    <row r="331" s="2" customFormat="1" ht="11.25"/>
    <row r="332" s="2" customFormat="1" ht="11.25"/>
    <row r="333" s="2" customFormat="1" ht="11.25"/>
    <row r="334" s="2" customFormat="1" ht="11.25"/>
    <row r="335" s="2" customFormat="1" ht="11.25"/>
    <row r="336" s="2" customFormat="1" ht="11.25"/>
    <row r="337" s="2" customFormat="1" ht="11.25"/>
    <row r="338" s="2" customFormat="1" ht="11.25"/>
    <row r="339" s="2" customFormat="1" ht="11.25"/>
    <row r="340" s="2" customFormat="1" ht="11.25"/>
    <row r="341" s="2" customFormat="1" ht="11.25"/>
    <row r="342" s="2" customFormat="1" ht="11.25"/>
    <row r="343" s="2" customFormat="1" ht="11.25"/>
    <row r="344" s="2" customFormat="1" ht="11.25"/>
    <row r="345" s="2" customFormat="1" ht="11.25"/>
    <row r="346" s="2" customFormat="1" ht="11.25"/>
    <row r="347" s="2" customFormat="1" ht="11.25"/>
    <row r="348" s="2" customFormat="1" ht="11.25"/>
    <row r="349" s="2" customFormat="1" ht="11.25"/>
    <row r="350" s="2" customFormat="1" ht="11.25"/>
    <row r="351" s="2" customFormat="1" ht="11.25"/>
    <row r="352" s="2" customFormat="1" ht="11.25"/>
    <row r="353" spans="33:62" s="2" customFormat="1" ht="11.25"/>
    <row r="354" spans="33:62" s="2" customFormat="1" ht="11.25"/>
    <row r="355" spans="33:62" s="2" customFormat="1" ht="11.25"/>
    <row r="356" spans="33:62" s="2" customFormat="1">
      <c r="AG356" s="1"/>
      <c r="AH356" s="1"/>
    </row>
    <row r="357" spans="33:6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</mergeCells>
  <printOptions horizontalCentered="1" verticalCentered="1"/>
  <pageMargins left="0.25" right="0.25" top="0.75" bottom="0.75" header="0.3" footer="0.3"/>
  <pageSetup paperSize="9" scale="53" orientation="landscape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26-19</vt:lpstr>
      <vt:lpstr>'26-19'!Print_Area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Asus</cp:lastModifiedBy>
  <cp:lastPrinted>2019-09-26T14:45:45Z</cp:lastPrinted>
  <dcterms:created xsi:type="dcterms:W3CDTF">2017-04-30T16:06:17Z</dcterms:created>
  <dcterms:modified xsi:type="dcterms:W3CDTF">2019-09-26T16:30:37Z</dcterms:modified>
</cp:coreProperties>
</file>