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12-19" sheetId="270" r:id="rId1"/>
  </sheets>
  <definedNames>
    <definedName name="_xlnm.Print_Area" localSheetId="0">'12-19'!$A$1:$AW$56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<sst xmlns="http://schemas.openxmlformats.org/spreadsheetml/2006/main" count="194" uniqueCount="126">
  <si>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</si>
  <si>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</si>
  <si>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</si>
  <si>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</si>
  <si>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</si>
  <si>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</si>
  <si>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</si>
  <si>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</si>
  <si>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</si>
  <si>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</si>
  <si>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</si>
  <si>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</si>
  <si>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</si>
  <si>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</si>
  <si>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</si>
  <si>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</si>
  <si>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</si>
  <si>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</si>
  <si>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</si>
  <si>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</si>
  <si>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</si>
  <si>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</si>
  <si>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</si>
  <si>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</si>
  <si>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</si>
  <si>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</si>
  <si>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</si>
  <si>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</si>
  <si>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</si>
  <si>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</si>
  <si>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</si>
  <si>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</si>
  <si>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</si>
  <si>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</si>
  <si>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</si>
  <si>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</si>
  <si>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</si>
  <si>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</si>
  <si>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</si>
  <si>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</si>
  <si>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</si>
  <si>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</si>
  <si>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</si>
  <si>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</si>
  <si>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</si>
  <si>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</si>
  <si>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</si>
  <si>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</si>
  <si>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</si>
  <si>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</si>
  <si>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</si>
  <si>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</si>
  <si>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</si>
  <si>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</si>
  <si>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</si>
  <si>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</si>
  <si>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</si>
  <si>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</si>
  <si>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</si>
  <si>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</si>
  <si>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</si>
  <si>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</si>
  <si>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</si>
  <si>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</si>
  <si>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</si>
  <si>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</si>
  <si>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</si>
  <si>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</si>
  <si>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</si>
  <si>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</si>
  <si>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</si>
  <si>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</si>
  <si>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</si>
  <si>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</si>
  <si>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</si>
  <si>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</si>
  <si>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</si>
  <si>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</si>
  <si>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</si>
  <si>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</si>
  <si>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</si>
  <si>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</si>
  <si>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</si>
  <si>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</si>
  <si>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</si>
  <si>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</si>
  <si>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</si>
  <si>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</si>
  <si>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</si>
  <si>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</si>
  <si>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</si>
  <si>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</si>
  <si>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</si>
  <si>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</si>
  <si>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</si>
  <si>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</si>
  <si>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</si>
  <si>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</si>
  <si>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</si>
  <si>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</si>
  <si>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</si>
  <si>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</si>
  <si>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</si>
  <si>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</si>
  <si>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</si>
  <si>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</si>
  <si>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Moderate / 1.0-1.5 m</t>
  </si>
  <si>
    <t>E 8- 10 Knot</t>
  </si>
  <si>
    <t>E 07-10 Knot</t>
  </si>
  <si>
    <t>E 10-14 Knot</t>
  </si>
  <si>
    <t>l;;;</t>
  </si>
  <si>
    <t>MA 32 standby di SBM export.</t>
  </si>
  <si>
    <t>12 October, 2019</t>
  </si>
  <si>
    <t>Tahan posisi kapal menjauh dari SBM export,arus dari buritan kapal.</t>
  </si>
  <si>
    <t>tahan posisi kapal menjauh dari hose,arus mulai berubah.</t>
  </si>
  <si>
    <t>SBM export - 114,jemput personil SBM.</t>
  </si>
  <si>
    <t>Personil SBM naik ke MA 32</t>
  </si>
  <si>
    <t>Drop 3 personil ke SBM storage</t>
  </si>
  <si>
    <t>Drop 3 personil ke SBM eksport/ikat di buritan megawati 5</t>
  </si>
  <si>
    <t>Lepas tali moring,jemput personil di SBM eksport</t>
  </si>
  <si>
    <t>Jemput 1 personil di INA permata 1/naik ke ship 114</t>
  </si>
  <si>
    <t>Selesai ikat di moring line belakang megawati 5</t>
  </si>
  <si>
    <t>Survey line dari sbm eksport ke sbm storage - 114.</t>
  </si>
  <si>
    <t>Selesai drop 7 personil ke ship 114 -  SBM eksport</t>
  </si>
  <si>
    <t>11.24 s/d 12.06,survey line SBM export-SBM</t>
  </si>
  <si>
    <t>storage.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</si>
</sst>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20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  <font>
      <u/>
      <sz val="10"/>
      <color theme="10"/>
      <name val="Arial"/>
    </font>
    <font>
      <sz val="12"/>
      <color theme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8" fillId="0" borderId="0" applyNumberFormat="0" applyFill="0" applyBorder="0" applyAlignment="0" applyProtection="0">
      <alignment vertical="top"/>
      <protection locked="0"/>
    </xf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20" fontId="19" fillId="0" borderId="6" xfId="2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16" zoomScale="71" zoomScaleNormal="90" zoomScaleSheetLayoutView="71" workbookViewId="0">
      <selection activeCell="AQ46" sqref="AQ4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9"/>
      <c r="W2" s="109"/>
      <c r="X2" s="109"/>
      <c r="Y2" s="109"/>
      <c r="Z2" s="109"/>
      <c r="AA2" s="109"/>
      <c r="AB2" s="109"/>
      <c r="AC2" s="109"/>
      <c r="AD2" s="109"/>
      <c r="AE2" s="109"/>
      <c r="AF2" s="109"/>
      <c r="AG2" s="109"/>
      <c r="AH2" s="109"/>
      <c r="AI2" s="109"/>
      <c r="AJ2" s="109"/>
      <c r="AK2" s="109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111" t="s">
        <v>112</v>
      </c>
      <c r="G7" s="112"/>
      <c r="H7" s="112"/>
      <c r="I7" s="112"/>
      <c r="J7" s="112"/>
      <c r="K7" s="113"/>
      <c r="L7" s="10" t="s">
        <v>3</v>
      </c>
      <c r="M7" s="9"/>
      <c r="N7" s="9"/>
      <c r="O7" s="11"/>
      <c r="P7" s="114" t="s">
        <v>103</v>
      </c>
      <c r="Q7" s="115"/>
      <c r="R7" s="115"/>
      <c r="S7" s="115"/>
      <c r="T7" s="115"/>
      <c r="U7" s="116"/>
      <c r="V7" s="12"/>
      <c r="W7" s="117" t="s">
        <v>4</v>
      </c>
      <c r="X7" s="118"/>
      <c r="Y7" s="118"/>
      <c r="Z7" s="119"/>
      <c r="AA7" s="123" t="s">
        <v>96</v>
      </c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5"/>
      <c r="AM7" s="117" t="s">
        <v>5</v>
      </c>
      <c r="AN7" s="118"/>
      <c r="AO7" s="118"/>
      <c r="AP7" s="118"/>
      <c r="AQ7" s="118"/>
      <c r="AR7" s="118"/>
      <c r="AS7" s="118"/>
      <c r="AT7" s="118"/>
      <c r="AU7" s="118"/>
      <c r="AV7" s="119"/>
    </row>
    <row r="8" spans="1:54" ht="15.75" customHeight="1">
      <c r="A8" s="4"/>
      <c r="B8" s="13" t="s">
        <v>6</v>
      </c>
      <c r="C8" s="14"/>
      <c r="D8" s="14"/>
      <c r="E8" s="14"/>
      <c r="F8" s="140" t="s">
        <v>100</v>
      </c>
      <c r="G8" s="141"/>
      <c r="H8" s="141"/>
      <c r="I8" s="141"/>
      <c r="J8" s="141"/>
      <c r="K8" s="142"/>
      <c r="L8" s="15" t="s">
        <v>7</v>
      </c>
      <c r="M8" s="14"/>
      <c r="N8" s="14"/>
      <c r="O8" s="16"/>
      <c r="P8" s="143" t="s">
        <v>104</v>
      </c>
      <c r="Q8" s="144"/>
      <c r="R8" s="144"/>
      <c r="S8" s="144"/>
      <c r="T8" s="144"/>
      <c r="U8" s="145"/>
      <c r="V8" s="12"/>
      <c r="W8" s="120"/>
      <c r="X8" s="121"/>
      <c r="Y8" s="121"/>
      <c r="Z8" s="122"/>
      <c r="AA8" s="126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8"/>
      <c r="AM8" s="163"/>
      <c r="AN8" s="164"/>
      <c r="AO8" s="164"/>
      <c r="AP8" s="164"/>
      <c r="AQ8" s="164"/>
      <c r="AR8" s="164"/>
      <c r="AS8" s="164"/>
      <c r="AT8" s="164"/>
      <c r="AU8" s="164"/>
      <c r="AV8" s="165"/>
    </row>
    <row r="9" spans="1:54" ht="15.75" customHeight="1" thickBot="1">
      <c r="A9" s="4"/>
      <c r="B9" s="13" t="s">
        <v>8</v>
      </c>
      <c r="C9" s="14"/>
      <c r="D9" s="14"/>
      <c r="E9" s="14"/>
      <c r="F9" s="146" t="s">
        <v>86</v>
      </c>
      <c r="G9" s="147"/>
      <c r="H9" s="147"/>
      <c r="I9" s="147"/>
      <c r="J9" s="147"/>
      <c r="K9" s="148"/>
      <c r="L9" s="17" t="s">
        <v>9</v>
      </c>
      <c r="M9" s="18"/>
      <c r="N9" s="18"/>
      <c r="O9" s="19"/>
      <c r="P9" s="149" t="s">
        <v>101</v>
      </c>
      <c r="Q9" s="150"/>
      <c r="R9" s="150"/>
      <c r="S9" s="150"/>
      <c r="T9" s="150"/>
      <c r="U9" s="151"/>
      <c r="V9" s="20"/>
      <c r="W9" s="152" t="s">
        <v>10</v>
      </c>
      <c r="X9" s="153"/>
      <c r="Y9" s="154" t="s">
        <v>11</v>
      </c>
      <c r="Z9" s="155"/>
      <c r="AA9" s="152" t="s">
        <v>12</v>
      </c>
      <c r="AB9" s="153"/>
      <c r="AC9" s="156" t="s">
        <v>13</v>
      </c>
      <c r="AD9" s="153"/>
      <c r="AE9" s="156" t="s">
        <v>14</v>
      </c>
      <c r="AF9" s="153"/>
      <c r="AG9" s="156" t="s">
        <v>15</v>
      </c>
      <c r="AH9" s="153"/>
      <c r="AI9" s="156" t="s">
        <v>16</v>
      </c>
      <c r="AJ9" s="153"/>
      <c r="AK9" s="156" t="s">
        <v>17</v>
      </c>
      <c r="AL9" s="160"/>
      <c r="AM9" s="166"/>
      <c r="AN9" s="167"/>
      <c r="AO9" s="167"/>
      <c r="AP9" s="167"/>
      <c r="AQ9" s="167"/>
      <c r="AR9" s="167"/>
      <c r="AS9" s="167"/>
      <c r="AT9" s="167"/>
      <c r="AU9" s="167"/>
      <c r="AV9" s="168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129" t="s">
        <v>86</v>
      </c>
      <c r="G10" s="130"/>
      <c r="H10" s="23" t="s">
        <v>19</v>
      </c>
      <c r="I10" s="131" t="s">
        <v>86</v>
      </c>
      <c r="J10" s="131"/>
      <c r="K10" s="132"/>
      <c r="L10" s="24" t="s">
        <v>20</v>
      </c>
      <c r="M10" s="22"/>
      <c r="N10" s="22"/>
      <c r="O10" s="25"/>
      <c r="P10" s="133">
        <v>10</v>
      </c>
      <c r="Q10" s="134"/>
      <c r="R10" s="26" t="s">
        <v>21</v>
      </c>
      <c r="S10" s="134">
        <v>0</v>
      </c>
      <c r="T10" s="134"/>
      <c r="U10" s="27" t="s">
        <v>22</v>
      </c>
      <c r="V10" s="28"/>
      <c r="W10" s="135">
        <v>0</v>
      </c>
      <c r="X10" s="136"/>
      <c r="Y10" s="137">
        <v>1.2499999999999999E-2</v>
      </c>
      <c r="Z10" s="138"/>
      <c r="AA10" s="137"/>
      <c r="AB10" s="138"/>
      <c r="AC10" s="137"/>
      <c r="AD10" s="138"/>
      <c r="AE10" s="137"/>
      <c r="AF10" s="138"/>
      <c r="AG10" s="137"/>
      <c r="AH10" s="138"/>
      <c r="AI10" s="137"/>
      <c r="AJ10" s="138"/>
      <c r="AK10" s="137">
        <v>1.2499999999999999E-2</v>
      </c>
      <c r="AL10" s="139"/>
      <c r="AM10" s="157" t="s">
        <v>111</v>
      </c>
      <c r="AN10" s="158"/>
      <c r="AO10" s="158"/>
      <c r="AP10" s="158"/>
      <c r="AQ10" s="158"/>
      <c r="AR10" s="158"/>
      <c r="AS10" s="158"/>
      <c r="AT10" s="158"/>
      <c r="AU10" s="158"/>
      <c r="AV10" s="159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1.2499999999999999E-2</v>
      </c>
      <c r="X11" s="182"/>
      <c r="Y11" s="161">
        <v>0.17500000000000002</v>
      </c>
      <c r="Z11" s="180"/>
      <c r="AA11" s="161"/>
      <c r="AB11" s="180"/>
      <c r="AC11" s="185">
        <v>0.1423611111111111</v>
      </c>
      <c r="AD11" s="186"/>
      <c r="AE11" s="185">
        <v>1.3888888888888888E-2</v>
      </c>
      <c r="AF11" s="186"/>
      <c r="AG11" s="185">
        <v>6.2499999999999995E-3</v>
      </c>
      <c r="AH11" s="186"/>
      <c r="AI11" s="161"/>
      <c r="AJ11" s="180"/>
      <c r="AK11" s="161"/>
      <c r="AL11" s="162"/>
      <c r="AM11" s="157" t="s">
        <v>113</v>
      </c>
      <c r="AN11" s="158"/>
      <c r="AO11" s="158"/>
      <c r="AP11" s="158"/>
      <c r="AQ11" s="158"/>
      <c r="AR11" s="158"/>
      <c r="AS11" s="158"/>
      <c r="AT11" s="158"/>
      <c r="AU11" s="158"/>
      <c r="AV11" s="159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0.17500000000000002</v>
      </c>
      <c r="X12" s="182"/>
      <c r="Y12" s="178">
        <v>0.23333333333333331</v>
      </c>
      <c r="Z12" s="179"/>
      <c r="AA12" s="161"/>
      <c r="AB12" s="180"/>
      <c r="AC12" s="161"/>
      <c r="AD12" s="180"/>
      <c r="AE12" s="161"/>
      <c r="AF12" s="180"/>
      <c r="AG12" s="161"/>
      <c r="AH12" s="180"/>
      <c r="AI12" s="183"/>
      <c r="AJ12" s="184"/>
      <c r="AK12" s="161">
        <v>5.8333333333333327E-2</v>
      </c>
      <c r="AL12" s="162"/>
      <c r="AM12" s="157" t="s">
        <v>111</v>
      </c>
      <c r="AN12" s="158"/>
      <c r="AO12" s="158"/>
      <c r="AP12" s="158"/>
      <c r="AQ12" s="158"/>
      <c r="AR12" s="158"/>
      <c r="AS12" s="158"/>
      <c r="AT12" s="158"/>
      <c r="AU12" s="158"/>
      <c r="AV12" s="159"/>
    </row>
    <row r="13" spans="1:54" ht="16.5" customHeight="1" thickTop="1" thickBot="1">
      <c r="A13" s="4"/>
      <c r="B13" s="169" t="s">
        <v>24</v>
      </c>
      <c r="C13" s="170"/>
      <c r="D13" s="170"/>
      <c r="E13" s="171"/>
      <c r="F13" s="172" t="s">
        <v>25</v>
      </c>
      <c r="G13" s="173"/>
      <c r="H13" s="173"/>
      <c r="I13" s="174"/>
      <c r="J13" s="172" t="s">
        <v>26</v>
      </c>
      <c r="K13" s="173"/>
      <c r="L13" s="173"/>
      <c r="M13" s="174"/>
      <c r="N13" s="172" t="s">
        <v>27</v>
      </c>
      <c r="O13" s="173"/>
      <c r="P13" s="173"/>
      <c r="Q13" s="174"/>
      <c r="R13" s="172" t="s">
        <v>28</v>
      </c>
      <c r="S13" s="173"/>
      <c r="T13" s="173"/>
      <c r="U13" s="175"/>
      <c r="V13" s="99"/>
      <c r="W13" s="176">
        <v>0.23333333333333331</v>
      </c>
      <c r="X13" s="177"/>
      <c r="Y13" s="178">
        <v>0.25416666666666665</v>
      </c>
      <c r="Z13" s="179"/>
      <c r="AA13" s="161"/>
      <c r="AB13" s="180"/>
      <c r="AC13" s="185">
        <v>1.5277777777777777E-2</v>
      </c>
      <c r="AD13" s="186"/>
      <c r="AE13" s="161">
        <v>3.472222222222222E-3</v>
      </c>
      <c r="AF13" s="180"/>
      <c r="AG13" s="161">
        <v>2.0833333333333333E-3</v>
      </c>
      <c r="AH13" s="180"/>
      <c r="AI13" s="187"/>
      <c r="AJ13" s="187"/>
      <c r="AK13" s="188"/>
      <c r="AL13" s="189"/>
      <c r="AM13" s="157" t="s">
        <v>114</v>
      </c>
      <c r="AN13" s="158"/>
      <c r="AO13" s="158"/>
      <c r="AP13" s="158"/>
      <c r="AQ13" s="158"/>
      <c r="AR13" s="158"/>
      <c r="AS13" s="158"/>
      <c r="AT13" s="158"/>
      <c r="AU13" s="158"/>
      <c r="AV13" s="159"/>
    </row>
    <row r="14" spans="1:54" ht="15.75" customHeight="1" thickTop="1">
      <c r="A14" s="4"/>
      <c r="B14" s="197" t="s">
        <v>29</v>
      </c>
      <c r="C14" s="198"/>
      <c r="D14" s="198"/>
      <c r="E14" s="198"/>
      <c r="F14" s="199" t="s">
        <v>99</v>
      </c>
      <c r="G14" s="200"/>
      <c r="H14" s="200"/>
      <c r="I14" s="201"/>
      <c r="J14" s="202" t="s">
        <v>108</v>
      </c>
      <c r="K14" s="200"/>
      <c r="L14" s="200"/>
      <c r="M14" s="201"/>
      <c r="N14" s="199" t="s">
        <v>109</v>
      </c>
      <c r="O14" s="200"/>
      <c r="P14" s="200"/>
      <c r="Q14" s="201"/>
      <c r="R14" s="202" t="s">
        <v>107</v>
      </c>
      <c r="S14" s="200"/>
      <c r="T14" s="200"/>
      <c r="U14" s="201"/>
      <c r="V14" s="99"/>
      <c r="W14" s="176">
        <v>0.25416666666666665</v>
      </c>
      <c r="X14" s="177"/>
      <c r="Y14" s="178">
        <v>0.33749999999999997</v>
      </c>
      <c r="Z14" s="179"/>
      <c r="AA14" s="161"/>
      <c r="AB14" s="180"/>
      <c r="AC14" s="161"/>
      <c r="AD14" s="180"/>
      <c r="AE14" s="183"/>
      <c r="AF14" s="184"/>
      <c r="AG14" s="183"/>
      <c r="AH14" s="184"/>
      <c r="AI14" s="161"/>
      <c r="AJ14" s="180"/>
      <c r="AK14" s="161">
        <v>8.3333333333333329E-2</v>
      </c>
      <c r="AL14" s="162"/>
      <c r="AM14" s="157" t="s">
        <v>111</v>
      </c>
      <c r="AN14" s="158"/>
      <c r="AO14" s="158"/>
      <c r="AP14" s="158"/>
      <c r="AQ14" s="158"/>
      <c r="AR14" s="158"/>
      <c r="AS14" s="158"/>
      <c r="AT14" s="158"/>
      <c r="AU14" s="158"/>
      <c r="AV14" s="159"/>
    </row>
    <row r="15" spans="1:54" ht="15.75" customHeight="1">
      <c r="A15" s="4"/>
      <c r="B15" s="191" t="s">
        <v>30</v>
      </c>
      <c r="C15" s="192"/>
      <c r="D15" s="192"/>
      <c r="E15" s="193"/>
      <c r="F15" s="194" t="s">
        <v>98</v>
      </c>
      <c r="G15" s="195"/>
      <c r="H15" s="195"/>
      <c r="I15" s="196"/>
      <c r="J15" s="194" t="s">
        <v>105</v>
      </c>
      <c r="K15" s="195"/>
      <c r="L15" s="195"/>
      <c r="M15" s="196"/>
      <c r="N15" s="194" t="s">
        <v>106</v>
      </c>
      <c r="O15" s="195"/>
      <c r="P15" s="195"/>
      <c r="Q15" s="196"/>
      <c r="R15" s="194" t="s">
        <v>98</v>
      </c>
      <c r="S15" s="195"/>
      <c r="T15" s="195"/>
      <c r="U15" s="196"/>
      <c r="V15" s="99"/>
      <c r="W15" s="176">
        <v>0.33749999999999997</v>
      </c>
      <c r="X15" s="177"/>
      <c r="Y15" s="178">
        <v>0.39166666666666666</v>
      </c>
      <c r="Z15" s="179"/>
      <c r="AA15" s="161"/>
      <c r="AB15" s="180"/>
      <c r="AC15" s="161">
        <v>4.7222222222222221E-2</v>
      </c>
      <c r="AD15" s="180"/>
      <c r="AE15" s="161">
        <v>3.472222222222222E-3</v>
      </c>
      <c r="AF15" s="180"/>
      <c r="AG15" s="161">
        <v>3.472222222222222E-3</v>
      </c>
      <c r="AH15" s="180"/>
      <c r="AI15" s="161"/>
      <c r="AJ15" s="180"/>
      <c r="AK15" s="161"/>
      <c r="AL15" s="162"/>
      <c r="AM15" s="190" t="s">
        <v>115</v>
      </c>
      <c r="AN15" s="158"/>
      <c r="AO15" s="158"/>
      <c r="AP15" s="158"/>
      <c r="AQ15" s="158"/>
      <c r="AR15" s="158"/>
      <c r="AS15" s="158"/>
      <c r="AT15" s="158"/>
      <c r="AU15" s="158"/>
      <c r="AV15" s="159"/>
    </row>
    <row r="16" spans="1:54" ht="15.75" customHeight="1" thickBot="1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6">
        <v>0.39166666666666666</v>
      </c>
      <c r="X16" s="179"/>
      <c r="Y16" s="178">
        <v>0.39583333333333331</v>
      </c>
      <c r="Z16" s="179"/>
      <c r="AA16" s="161"/>
      <c r="AB16" s="180"/>
      <c r="AC16" s="161"/>
      <c r="AD16" s="180"/>
      <c r="AE16" s="161">
        <v>2.0833333333333333E-3</v>
      </c>
      <c r="AF16" s="180"/>
      <c r="AG16" s="161">
        <v>2.0833333333333333E-3</v>
      </c>
      <c r="AH16" s="180"/>
      <c r="AI16" s="161"/>
      <c r="AJ16" s="180"/>
      <c r="AK16" s="161"/>
      <c r="AL16" s="162"/>
      <c r="AM16" s="157" t="s">
        <v>116</v>
      </c>
      <c r="AN16" s="158"/>
      <c r="AO16" s="158"/>
      <c r="AP16" s="158"/>
      <c r="AQ16" s="158"/>
      <c r="AR16" s="158"/>
      <c r="AS16" s="158"/>
      <c r="AT16" s="158"/>
      <c r="AU16" s="158"/>
      <c r="AV16" s="159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6">
        <v>0.39583333333333331</v>
      </c>
      <c r="X17" s="179"/>
      <c r="Y17" s="178">
        <v>0.4375</v>
      </c>
      <c r="Z17" s="179"/>
      <c r="AA17" s="161"/>
      <c r="AB17" s="180"/>
      <c r="AC17" s="185">
        <v>3.0555555555555555E-2</v>
      </c>
      <c r="AD17" s="186"/>
      <c r="AE17" s="185">
        <v>6.2499999999999995E-3</v>
      </c>
      <c r="AF17" s="186"/>
      <c r="AG17" s="185">
        <v>4.8611111111111112E-3</v>
      </c>
      <c r="AH17" s="186"/>
      <c r="AI17" s="161"/>
      <c r="AJ17" s="180"/>
      <c r="AK17" s="161"/>
      <c r="AL17" s="162"/>
      <c r="AM17" s="157" t="s">
        <v>117</v>
      </c>
      <c r="AN17" s="158"/>
      <c r="AO17" s="158"/>
      <c r="AP17" s="158"/>
      <c r="AQ17" s="158"/>
      <c r="AR17" s="158"/>
      <c r="AS17" s="158"/>
      <c r="AT17" s="158"/>
      <c r="AU17" s="158"/>
      <c r="AV17" s="159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6">
        <v>0.4375</v>
      </c>
      <c r="X18" s="179"/>
      <c r="Y18" s="178">
        <v>0.46249999999999997</v>
      </c>
      <c r="Z18" s="179"/>
      <c r="AA18" s="161"/>
      <c r="AB18" s="180"/>
      <c r="AC18" s="161">
        <v>1.8749999999999999E-2</v>
      </c>
      <c r="AD18" s="180"/>
      <c r="AE18" s="185">
        <v>4.1666666666666666E-3</v>
      </c>
      <c r="AF18" s="186"/>
      <c r="AG18" s="185">
        <v>2.0833333333333333E-3</v>
      </c>
      <c r="AH18" s="186"/>
      <c r="AI18" s="161"/>
      <c r="AJ18" s="180"/>
      <c r="AK18" s="161"/>
      <c r="AL18" s="162"/>
      <c r="AM18" s="157" t="s">
        <v>118</v>
      </c>
      <c r="AN18" s="158"/>
      <c r="AO18" s="158"/>
      <c r="AP18" s="158"/>
      <c r="AQ18" s="158"/>
      <c r="AR18" s="158"/>
      <c r="AS18" s="158"/>
      <c r="AT18" s="158"/>
      <c r="AU18" s="158"/>
      <c r="AV18" s="159"/>
    </row>
    <row r="19" spans="1:48" ht="15.75" customHeight="1" thickTop="1" thickBot="1">
      <c r="A19" s="4"/>
      <c r="B19" s="34"/>
      <c r="C19" s="215" t="s">
        <v>33</v>
      </c>
      <c r="D19" s="216"/>
      <c r="E19" s="216"/>
      <c r="F19" s="216"/>
      <c r="G19" s="216"/>
      <c r="H19" s="216"/>
      <c r="I19" s="216"/>
      <c r="J19" s="216"/>
      <c r="K19" s="216"/>
      <c r="L19" s="217"/>
      <c r="M19" s="215" t="s">
        <v>34</v>
      </c>
      <c r="N19" s="216"/>
      <c r="O19" s="217"/>
      <c r="P19" s="215" t="s">
        <v>35</v>
      </c>
      <c r="Q19" s="216"/>
      <c r="R19" s="217"/>
      <c r="S19" s="215" t="s">
        <v>36</v>
      </c>
      <c r="T19" s="216"/>
      <c r="U19" s="218"/>
      <c r="V19" s="100"/>
      <c r="W19" s="176">
        <v>0.46249999999999997</v>
      </c>
      <c r="X19" s="179"/>
      <c r="Y19" s="178">
        <v>0.47083333333333338</v>
      </c>
      <c r="Z19" s="179"/>
      <c r="AA19" s="161"/>
      <c r="AB19" s="180"/>
      <c r="AC19" s="183">
        <v>3.472222222222222E-3</v>
      </c>
      <c r="AD19" s="184"/>
      <c r="AE19" s="161">
        <v>2.7777777777777779E-3</v>
      </c>
      <c r="AF19" s="180"/>
      <c r="AG19" s="161">
        <v>2.0833333333333333E-3</v>
      </c>
      <c r="AH19" s="180"/>
      <c r="AI19" s="161"/>
      <c r="AJ19" s="180"/>
      <c r="AK19" s="161"/>
      <c r="AL19" s="162"/>
      <c r="AM19" s="157" t="s">
        <v>119</v>
      </c>
      <c r="AN19" s="158"/>
      <c r="AO19" s="158"/>
      <c r="AP19" s="158"/>
      <c r="AQ19" s="158"/>
      <c r="AR19" s="158"/>
      <c r="AS19" s="158"/>
      <c r="AT19" s="158"/>
      <c r="AU19" s="158"/>
      <c r="AV19" s="159"/>
    </row>
    <row r="20" spans="1:48" ht="15.75" customHeight="1" thickTop="1">
      <c r="A20" s="4"/>
      <c r="B20" s="35">
        <v>1</v>
      </c>
      <c r="C20" s="208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09">
        <v>0</v>
      </c>
      <c r="N20" s="210"/>
      <c r="O20" s="211"/>
      <c r="P20" s="209">
        <v>0</v>
      </c>
      <c r="Q20" s="210"/>
      <c r="R20" s="211"/>
      <c r="S20" s="212">
        <f>M20+P20</f>
        <v>0</v>
      </c>
      <c r="T20" s="213"/>
      <c r="U20" s="214"/>
      <c r="V20" s="101"/>
      <c r="W20" s="176">
        <v>0.47083333333333338</v>
      </c>
      <c r="X20" s="179"/>
      <c r="Y20" s="161">
        <v>0.47500000000000003</v>
      </c>
      <c r="Z20" s="180"/>
      <c r="AA20" s="185"/>
      <c r="AB20" s="186"/>
      <c r="AC20" s="161">
        <v>1.3888888888888889E-3</v>
      </c>
      <c r="AD20" s="180"/>
      <c r="AE20" s="185">
        <v>1.3888888888888889E-3</v>
      </c>
      <c r="AF20" s="186"/>
      <c r="AG20" s="185">
        <v>1.3888888888888889E-3</v>
      </c>
      <c r="AH20" s="186"/>
      <c r="AI20" s="185"/>
      <c r="AJ20" s="186"/>
      <c r="AK20" s="185"/>
      <c r="AL20" s="219"/>
      <c r="AM20" s="157" t="s">
        <v>116</v>
      </c>
      <c r="AN20" s="158"/>
      <c r="AO20" s="158"/>
      <c r="AP20" s="158"/>
      <c r="AQ20" s="158"/>
      <c r="AR20" s="158"/>
      <c r="AS20" s="158"/>
      <c r="AT20" s="158"/>
      <c r="AU20" s="158"/>
      <c r="AV20" s="159"/>
    </row>
    <row r="21" spans="1:48" ht="15.75" customHeight="1">
      <c r="A21" s="4"/>
      <c r="B21" s="36">
        <v>2</v>
      </c>
      <c r="C21" s="220" t="s">
        <v>37</v>
      </c>
      <c r="D21" s="192"/>
      <c r="E21" s="192"/>
      <c r="F21" s="192"/>
      <c r="G21" s="192"/>
      <c r="H21" s="192"/>
      <c r="I21" s="192"/>
      <c r="J21" s="192"/>
      <c r="K21" s="192"/>
      <c r="L21" s="16"/>
      <c r="M21" s="221">
        <v>0</v>
      </c>
      <c r="N21" s="222"/>
      <c r="O21" s="223"/>
      <c r="P21" s="221">
        <v>0</v>
      </c>
      <c r="Q21" s="222"/>
      <c r="R21" s="223"/>
      <c r="S21" s="224">
        <f t="shared" ref="S21:S25" si="0">M21+P21</f>
        <v>0</v>
      </c>
      <c r="T21" s="225"/>
      <c r="U21" s="226"/>
      <c r="V21" s="102"/>
      <c r="W21" s="181">
        <v>0.47500000000000003</v>
      </c>
      <c r="X21" s="180"/>
      <c r="Y21" s="161">
        <v>0.50416666666666665</v>
      </c>
      <c r="Z21" s="179"/>
      <c r="AA21" s="161"/>
      <c r="AB21" s="180"/>
      <c r="AC21" s="161">
        <v>2.2916666666666669E-2</v>
      </c>
      <c r="AD21" s="180"/>
      <c r="AE21" s="185">
        <v>3.472222222222222E-3</v>
      </c>
      <c r="AF21" s="186"/>
      <c r="AG21" s="185">
        <v>2.7777777777777779E-3</v>
      </c>
      <c r="AH21" s="186"/>
      <c r="AI21" s="161"/>
      <c r="AJ21" s="180"/>
      <c r="AK21" s="161"/>
      <c r="AL21" s="162"/>
      <c r="AM21" s="157" t="s">
        <v>122</v>
      </c>
      <c r="AN21" s="158"/>
      <c r="AO21" s="158"/>
      <c r="AP21" s="158"/>
      <c r="AQ21" s="158"/>
      <c r="AR21" s="158"/>
      <c r="AS21" s="158"/>
      <c r="AT21" s="158"/>
      <c r="AU21" s="158"/>
      <c r="AV21" s="159"/>
    </row>
    <row r="22" spans="1:48" ht="15.75" customHeight="1">
      <c r="A22" s="4"/>
      <c r="B22" s="36">
        <v>3</v>
      </c>
      <c r="C22" s="220" t="s">
        <v>38</v>
      </c>
      <c r="D22" s="192"/>
      <c r="E22" s="192"/>
      <c r="F22" s="192"/>
      <c r="G22" s="192"/>
      <c r="H22" s="192"/>
      <c r="I22" s="192"/>
      <c r="J22" s="192"/>
      <c r="K22" s="192"/>
      <c r="L22" s="16"/>
      <c r="M22" s="221">
        <v>0</v>
      </c>
      <c r="N22" s="222"/>
      <c r="O22" s="223"/>
      <c r="P22" s="221">
        <v>0</v>
      </c>
      <c r="Q22" s="222"/>
      <c r="R22" s="223"/>
      <c r="S22" s="224">
        <f t="shared" si="0"/>
        <v>0</v>
      </c>
      <c r="T22" s="225"/>
      <c r="U22" s="226"/>
      <c r="V22" s="103"/>
      <c r="W22" s="181">
        <v>0.50416666666666665</v>
      </c>
      <c r="X22" s="180"/>
      <c r="Y22" s="178">
        <v>0.51250000000000007</v>
      </c>
      <c r="Z22" s="179"/>
      <c r="AA22" s="161"/>
      <c r="AB22" s="180"/>
      <c r="AC22" s="161">
        <v>3.472222222222222E-3</v>
      </c>
      <c r="AD22" s="180"/>
      <c r="AE22" s="185">
        <v>2.7777777777777779E-3</v>
      </c>
      <c r="AF22" s="186"/>
      <c r="AG22" s="185">
        <v>2.0833333333333333E-3</v>
      </c>
      <c r="AH22" s="186"/>
      <c r="AI22" s="161"/>
      <c r="AJ22" s="180"/>
      <c r="AK22" s="161"/>
      <c r="AL22" s="162"/>
      <c r="AM22" s="157" t="s">
        <v>120</v>
      </c>
      <c r="AN22" s="158"/>
      <c r="AO22" s="158"/>
      <c r="AP22" s="158"/>
      <c r="AQ22" s="158"/>
      <c r="AR22" s="158"/>
      <c r="AS22" s="158"/>
      <c r="AT22" s="158"/>
      <c r="AU22" s="158"/>
      <c r="AV22" s="159"/>
    </row>
    <row r="23" spans="1:48" ht="15.75" customHeight="1">
      <c r="A23" s="4"/>
      <c r="B23" s="36">
        <v>4</v>
      </c>
      <c r="C23" s="220" t="s">
        <v>39</v>
      </c>
      <c r="D23" s="192"/>
      <c r="E23" s="192"/>
      <c r="F23" s="192"/>
      <c r="G23" s="192"/>
      <c r="H23" s="192"/>
      <c r="I23" s="192"/>
      <c r="J23" s="192"/>
      <c r="K23" s="192"/>
      <c r="L23" s="16"/>
      <c r="M23" s="221">
        <v>0</v>
      </c>
      <c r="N23" s="222"/>
      <c r="O23" s="223"/>
      <c r="P23" s="221">
        <v>0</v>
      </c>
      <c r="Q23" s="222"/>
      <c r="R23" s="223"/>
      <c r="S23" s="224">
        <f t="shared" si="0"/>
        <v>0</v>
      </c>
      <c r="T23" s="225"/>
      <c r="U23" s="226"/>
      <c r="V23" s="103"/>
      <c r="W23" s="181">
        <v>0.51250000000000007</v>
      </c>
      <c r="X23" s="180"/>
      <c r="Y23" s="161">
        <v>0.5625</v>
      </c>
      <c r="Z23" s="179"/>
      <c r="AA23" s="161"/>
      <c r="AB23" s="180"/>
      <c r="AC23" s="161">
        <v>4.3055555555555562E-2</v>
      </c>
      <c r="AD23" s="180"/>
      <c r="AE23" s="161">
        <v>3.472222222222222E-3</v>
      </c>
      <c r="AF23" s="180"/>
      <c r="AG23" s="185">
        <v>3.472222222222222E-3</v>
      </c>
      <c r="AH23" s="186"/>
      <c r="AI23" s="161"/>
      <c r="AJ23" s="180"/>
      <c r="AK23" s="161"/>
      <c r="AL23" s="162"/>
      <c r="AM23" s="157" t="s">
        <v>123</v>
      </c>
      <c r="AN23" s="158"/>
      <c r="AO23" s="158"/>
      <c r="AP23" s="158"/>
      <c r="AQ23" s="158"/>
      <c r="AR23" s="158"/>
      <c r="AS23" s="158"/>
      <c r="AT23" s="158"/>
      <c r="AU23" s="158"/>
      <c r="AV23" s="159"/>
    </row>
    <row r="24" spans="1:48" ht="15.75" customHeight="1">
      <c r="A24" s="4"/>
      <c r="B24" s="36">
        <v>5</v>
      </c>
      <c r="C24" s="235" t="s">
        <v>40</v>
      </c>
      <c r="D24" s="236"/>
      <c r="E24" s="236"/>
      <c r="F24" s="236"/>
      <c r="G24" s="236"/>
      <c r="H24" s="236"/>
      <c r="I24" s="236"/>
      <c r="J24" s="236"/>
      <c r="K24" s="236"/>
      <c r="L24" s="16"/>
      <c r="M24" s="221">
        <v>0</v>
      </c>
      <c r="N24" s="222"/>
      <c r="O24" s="223"/>
      <c r="P24" s="221">
        <v>0</v>
      </c>
      <c r="Q24" s="222"/>
      <c r="R24" s="223"/>
      <c r="S24" s="224">
        <v>0</v>
      </c>
      <c r="T24" s="225"/>
      <c r="U24" s="226"/>
      <c r="V24" s="103"/>
      <c r="W24" s="176">
        <v>0.5625</v>
      </c>
      <c r="X24" s="179"/>
      <c r="Y24" s="178">
        <v>0.57500000000000007</v>
      </c>
      <c r="Z24" s="179"/>
      <c r="AA24" s="161"/>
      <c r="AB24" s="180"/>
      <c r="AC24" s="161">
        <v>6.2499999999999995E-3</v>
      </c>
      <c r="AD24" s="180"/>
      <c r="AE24" s="183">
        <v>3.472222222222222E-3</v>
      </c>
      <c r="AF24" s="184"/>
      <c r="AG24" s="161">
        <v>2.7777777777777779E-3</v>
      </c>
      <c r="AH24" s="180"/>
      <c r="AI24" s="187"/>
      <c r="AJ24" s="187"/>
      <c r="AK24" s="188"/>
      <c r="AL24" s="189"/>
      <c r="AM24" s="157" t="s">
        <v>121</v>
      </c>
      <c r="AN24" s="158"/>
      <c r="AO24" s="158"/>
      <c r="AP24" s="158"/>
      <c r="AQ24" s="158"/>
      <c r="AR24" s="158"/>
      <c r="AS24" s="158"/>
      <c r="AT24" s="158"/>
      <c r="AU24" s="158"/>
      <c r="AV24" s="159"/>
    </row>
    <row r="25" spans="1:48" ht="15.75" customHeight="1" thickBot="1">
      <c r="A25" s="4"/>
      <c r="B25" s="37">
        <v>6</v>
      </c>
      <c r="C25" s="227" t="s">
        <v>41</v>
      </c>
      <c r="D25" s="228"/>
      <c r="E25" s="228"/>
      <c r="F25" s="228"/>
      <c r="G25" s="228"/>
      <c r="H25" s="228"/>
      <c r="I25" s="228"/>
      <c r="J25" s="228"/>
      <c r="K25" s="228"/>
      <c r="L25" s="38"/>
      <c r="M25" s="229">
        <v>0</v>
      </c>
      <c r="N25" s="230"/>
      <c r="O25" s="231"/>
      <c r="P25" s="229">
        <v>0</v>
      </c>
      <c r="Q25" s="230"/>
      <c r="R25" s="231"/>
      <c r="S25" s="232">
        <f t="shared" si="0"/>
        <v>0</v>
      </c>
      <c r="T25" s="233"/>
      <c r="U25" s="234"/>
      <c r="V25" s="103"/>
      <c r="W25" s="176">
        <v>0.57500000000000007</v>
      </c>
      <c r="X25" s="177"/>
      <c r="Y25" s="178">
        <v>0.65416666666666667</v>
      </c>
      <c r="Z25" s="179"/>
      <c r="AA25" s="161"/>
      <c r="AB25" s="180"/>
      <c r="AC25" s="161"/>
      <c r="AD25" s="180"/>
      <c r="AE25" s="161"/>
      <c r="AF25" s="180"/>
      <c r="AG25" s="185"/>
      <c r="AH25" s="186"/>
      <c r="AI25" s="161"/>
      <c r="AJ25" s="180"/>
      <c r="AK25" s="161">
        <v>7.9166666666666663E-2</v>
      </c>
      <c r="AL25" s="162"/>
      <c r="AM25" s="157" t="s">
        <v>111</v>
      </c>
      <c r="AN25" s="158"/>
      <c r="AO25" s="158"/>
      <c r="AP25" s="158"/>
      <c r="AQ25" s="158"/>
      <c r="AR25" s="158"/>
      <c r="AS25" s="158"/>
      <c r="AT25" s="158"/>
      <c r="AU25" s="158"/>
      <c r="AV25" s="159"/>
    </row>
    <row r="26" spans="1:48" ht="15.75" customHeight="1" thickTop="1" thickBot="1">
      <c r="A26" s="4"/>
      <c r="B26" s="34" t="s">
        <v>42</v>
      </c>
      <c r="C26" s="215" t="s">
        <v>43</v>
      </c>
      <c r="D26" s="216"/>
      <c r="E26" s="216"/>
      <c r="F26" s="216"/>
      <c r="G26" s="216"/>
      <c r="H26" s="216"/>
      <c r="I26" s="216"/>
      <c r="J26" s="216"/>
      <c r="K26" s="216"/>
      <c r="L26" s="217"/>
      <c r="M26" s="215" t="s">
        <v>34</v>
      </c>
      <c r="N26" s="216"/>
      <c r="O26" s="217"/>
      <c r="P26" s="215" t="s">
        <v>35</v>
      </c>
      <c r="Q26" s="216"/>
      <c r="R26" s="217"/>
      <c r="S26" s="246" t="s">
        <v>44</v>
      </c>
      <c r="T26" s="247"/>
      <c r="U26" s="248"/>
      <c r="V26" s="103"/>
      <c r="W26" s="176">
        <v>0.65416666666666667</v>
      </c>
      <c r="X26" s="179"/>
      <c r="Y26" s="177">
        <v>0.75416666666666676</v>
      </c>
      <c r="Z26" s="177"/>
      <c r="AA26" s="161"/>
      <c r="AB26" s="180"/>
      <c r="AC26" s="161">
        <v>8.6805555555555566E-2</v>
      </c>
      <c r="AD26" s="180"/>
      <c r="AE26" s="183">
        <v>8.3333333333333332E-3</v>
      </c>
      <c r="AF26" s="184"/>
      <c r="AG26" s="161">
        <v>4.8611111111111112E-3</v>
      </c>
      <c r="AH26" s="180"/>
      <c r="AI26" s="161"/>
      <c r="AJ26" s="180"/>
      <c r="AK26" s="161"/>
      <c r="AL26" s="162"/>
      <c r="AM26" s="157" t="s">
        <v>113</v>
      </c>
      <c r="AN26" s="158"/>
      <c r="AO26" s="158"/>
      <c r="AP26" s="158"/>
      <c r="AQ26" s="158"/>
      <c r="AR26" s="158"/>
      <c r="AS26" s="158"/>
      <c r="AT26" s="158"/>
      <c r="AU26" s="158"/>
      <c r="AV26" s="159"/>
    </row>
    <row r="27" spans="1:48" ht="15.75" customHeight="1" thickTop="1">
      <c r="A27" s="4"/>
      <c r="B27" s="35">
        <v>1</v>
      </c>
      <c r="C27" s="237" t="s">
        <v>45</v>
      </c>
      <c r="D27" s="238"/>
      <c r="E27" s="238"/>
      <c r="F27" s="238"/>
      <c r="G27" s="238"/>
      <c r="H27" s="238"/>
      <c r="I27" s="238"/>
      <c r="J27" s="238"/>
      <c r="K27" s="238"/>
      <c r="L27" s="239"/>
      <c r="M27" s="240">
        <v>0</v>
      </c>
      <c r="N27" s="241"/>
      <c r="O27" s="242"/>
      <c r="P27" s="240">
        <v>0</v>
      </c>
      <c r="Q27" s="241"/>
      <c r="R27" s="242"/>
      <c r="S27" s="243">
        <f t="shared" ref="S27:S32" si="1">M27+P27</f>
        <v>0</v>
      </c>
      <c r="T27" s="244"/>
      <c r="U27" s="245"/>
      <c r="V27" s="29"/>
      <c r="W27" s="176">
        <v>0.75416666666666676</v>
      </c>
      <c r="X27" s="179"/>
      <c r="Y27" s="177">
        <v>0.84166666666666667</v>
      </c>
      <c r="Z27" s="179"/>
      <c r="AA27" s="161"/>
      <c r="AB27" s="180"/>
      <c r="AC27" s="161"/>
      <c r="AD27" s="180"/>
      <c r="AE27" s="183"/>
      <c r="AF27" s="184"/>
      <c r="AG27" s="183"/>
      <c r="AH27" s="184"/>
      <c r="AI27" s="161"/>
      <c r="AJ27" s="180"/>
      <c r="AK27" s="161">
        <v>8.7500000000000008E-2</v>
      </c>
      <c r="AL27" s="180"/>
      <c r="AM27" s="157" t="s">
        <v>111</v>
      </c>
      <c r="AN27" s="158"/>
      <c r="AO27" s="158"/>
      <c r="AP27" s="158"/>
      <c r="AQ27" s="158"/>
      <c r="AR27" s="158"/>
      <c r="AS27" s="158"/>
      <c r="AT27" s="158"/>
      <c r="AU27" s="158"/>
      <c r="AV27" s="159"/>
    </row>
    <row r="28" spans="1:48" ht="15.75" customHeight="1">
      <c r="A28" s="4"/>
      <c r="B28" s="36">
        <v>2</v>
      </c>
      <c r="C28" s="235" t="s">
        <v>46</v>
      </c>
      <c r="D28" s="236"/>
      <c r="E28" s="236"/>
      <c r="F28" s="236"/>
      <c r="G28" s="236"/>
      <c r="H28" s="236"/>
      <c r="I28" s="236"/>
      <c r="J28" s="236"/>
      <c r="K28" s="236"/>
      <c r="L28" s="249"/>
      <c r="M28" s="250">
        <v>0</v>
      </c>
      <c r="N28" s="251"/>
      <c r="O28" s="252"/>
      <c r="P28" s="250">
        <v>0</v>
      </c>
      <c r="Q28" s="251"/>
      <c r="R28" s="252"/>
      <c r="S28" s="253">
        <f t="shared" si="1"/>
        <v>0</v>
      </c>
      <c r="T28" s="254"/>
      <c r="U28" s="255"/>
      <c r="V28" s="30"/>
      <c r="W28" s="176">
        <v>0.84166666666666667</v>
      </c>
      <c r="X28" s="177"/>
      <c r="Y28" s="178">
        <v>1</v>
      </c>
      <c r="Z28" s="179"/>
      <c r="AA28" s="161"/>
      <c r="AB28" s="180"/>
      <c r="AC28" s="161"/>
      <c r="AD28" s="180"/>
      <c r="AE28" s="185"/>
      <c r="AF28" s="186"/>
      <c r="AG28" s="161"/>
      <c r="AH28" s="180"/>
      <c r="AI28" s="161"/>
      <c r="AJ28" s="180"/>
      <c r="AK28" s="161">
        <v>0.15833333333333333</v>
      </c>
      <c r="AL28" s="162"/>
      <c r="AM28" s="157" t="s">
        <v>111</v>
      </c>
      <c r="AN28" s="158"/>
      <c r="AO28" s="158"/>
      <c r="AP28" s="158"/>
      <c r="AQ28" s="158"/>
      <c r="AR28" s="158"/>
      <c r="AS28" s="158"/>
      <c r="AT28" s="158"/>
      <c r="AU28" s="158"/>
      <c r="AV28" s="159"/>
    </row>
    <row r="29" spans="1:48" ht="15.75" customHeight="1">
      <c r="A29" s="4"/>
      <c r="B29" s="13"/>
      <c r="C29" s="39" t="s">
        <v>19</v>
      </c>
      <c r="D29" s="236" t="s">
        <v>47</v>
      </c>
      <c r="E29" s="236"/>
      <c r="F29" s="236"/>
      <c r="G29" s="236"/>
      <c r="H29" s="236"/>
      <c r="I29" s="236"/>
      <c r="J29" s="236"/>
      <c r="K29" s="236"/>
      <c r="L29" s="249"/>
      <c r="M29" s="250">
        <v>0</v>
      </c>
      <c r="N29" s="251"/>
      <c r="O29" s="252"/>
      <c r="P29" s="250">
        <v>0</v>
      </c>
      <c r="Q29" s="251"/>
      <c r="R29" s="252"/>
      <c r="S29" s="253">
        <f t="shared" si="1"/>
        <v>0</v>
      </c>
      <c r="T29" s="254"/>
      <c r="U29" s="255"/>
      <c r="V29" s="30"/>
      <c r="W29" s="176"/>
      <c r="X29" s="179"/>
      <c r="Y29" s="177"/>
      <c r="Z29" s="177"/>
      <c r="AA29" s="161"/>
      <c r="AB29" s="180"/>
      <c r="AC29" s="161"/>
      <c r="AD29" s="180"/>
      <c r="AE29" s="185"/>
      <c r="AF29" s="186"/>
      <c r="AG29" s="161"/>
      <c r="AH29" s="180"/>
      <c r="AI29" s="161"/>
      <c r="AJ29" s="180"/>
      <c r="AK29" s="161"/>
      <c r="AL29" s="162"/>
      <c r="AM29" s="157"/>
      <c r="AN29" s="158"/>
      <c r="AO29" s="158"/>
      <c r="AP29" s="158"/>
      <c r="AQ29" s="158"/>
      <c r="AR29" s="158"/>
      <c r="AS29" s="158"/>
      <c r="AT29" s="158"/>
      <c r="AU29" s="158"/>
      <c r="AV29" s="159"/>
    </row>
    <row r="30" spans="1:48" ht="15.75" customHeight="1">
      <c r="A30" s="4"/>
      <c r="B30" s="13"/>
      <c r="C30" s="39" t="s">
        <v>19</v>
      </c>
      <c r="D30" s="236" t="s">
        <v>48</v>
      </c>
      <c r="E30" s="236"/>
      <c r="F30" s="236"/>
      <c r="G30" s="236"/>
      <c r="H30" s="236"/>
      <c r="I30" s="236"/>
      <c r="J30" s="236"/>
      <c r="K30" s="236"/>
      <c r="L30" s="249"/>
      <c r="M30" s="250">
        <v>0</v>
      </c>
      <c r="N30" s="251"/>
      <c r="O30" s="252"/>
      <c r="P30" s="250">
        <v>0</v>
      </c>
      <c r="Q30" s="251"/>
      <c r="R30" s="252"/>
      <c r="S30" s="253">
        <f t="shared" si="1"/>
        <v>0</v>
      </c>
      <c r="T30" s="254"/>
      <c r="U30" s="255"/>
      <c r="V30" s="30"/>
      <c r="W30" s="176"/>
      <c r="X30" s="179"/>
      <c r="Y30" s="178"/>
      <c r="Z30" s="179"/>
      <c r="AA30" s="161"/>
      <c r="AB30" s="180"/>
      <c r="AC30" s="161"/>
      <c r="AD30" s="180"/>
      <c r="AE30" s="161"/>
      <c r="AF30" s="180"/>
      <c r="AG30" s="183"/>
      <c r="AH30" s="184"/>
      <c r="AI30" s="161"/>
      <c r="AJ30" s="180"/>
      <c r="AK30" s="161"/>
      <c r="AL30" s="162"/>
      <c r="AM30" s="157"/>
      <c r="AN30" s="158"/>
      <c r="AO30" s="158"/>
      <c r="AP30" s="158"/>
      <c r="AQ30" s="158"/>
      <c r="AR30" s="158"/>
      <c r="AS30" s="158"/>
      <c r="AT30" s="158"/>
      <c r="AU30" s="158"/>
      <c r="AV30" s="159"/>
    </row>
    <row r="31" spans="1:48" ht="15.75" customHeight="1">
      <c r="A31" s="4"/>
      <c r="B31" s="13"/>
      <c r="C31" s="39" t="s">
        <v>19</v>
      </c>
      <c r="D31" s="236" t="s">
        <v>49</v>
      </c>
      <c r="E31" s="236"/>
      <c r="F31" s="236"/>
      <c r="G31" s="236"/>
      <c r="H31" s="236"/>
      <c r="I31" s="236"/>
      <c r="J31" s="236"/>
      <c r="K31" s="236"/>
      <c r="L31" s="249"/>
      <c r="M31" s="250">
        <v>0</v>
      </c>
      <c r="N31" s="251"/>
      <c r="O31" s="252"/>
      <c r="P31" s="250">
        <v>0</v>
      </c>
      <c r="Q31" s="251"/>
      <c r="R31" s="252"/>
      <c r="S31" s="253">
        <f t="shared" si="1"/>
        <v>0</v>
      </c>
      <c r="T31" s="254"/>
      <c r="U31" s="255"/>
      <c r="V31" s="30"/>
      <c r="W31" s="176"/>
      <c r="X31" s="179"/>
      <c r="Y31" s="178"/>
      <c r="Z31" s="179"/>
      <c r="AA31" s="185"/>
      <c r="AB31" s="186"/>
      <c r="AC31" s="161"/>
      <c r="AD31" s="180"/>
      <c r="AE31" s="185"/>
      <c r="AF31" s="186"/>
      <c r="AG31" s="161"/>
      <c r="AH31" s="180"/>
      <c r="AI31" s="161"/>
      <c r="AJ31" s="180"/>
      <c r="AK31" s="161"/>
      <c r="AL31" s="162"/>
      <c r="AM31" s="256"/>
      <c r="AN31" s="158"/>
      <c r="AO31" s="158"/>
      <c r="AP31" s="158"/>
      <c r="AQ31" s="158"/>
      <c r="AR31" s="158"/>
      <c r="AS31" s="158"/>
      <c r="AT31" s="158"/>
      <c r="AU31" s="158"/>
      <c r="AV31" s="159"/>
    </row>
    <row r="32" spans="1:48" ht="15.75" customHeight="1" thickBot="1">
      <c r="A32" s="4"/>
      <c r="B32" s="21"/>
      <c r="C32" s="40" t="s">
        <v>19</v>
      </c>
      <c r="D32" s="228" t="s">
        <v>50</v>
      </c>
      <c r="E32" s="228"/>
      <c r="F32" s="228"/>
      <c r="G32" s="228"/>
      <c r="H32" s="228"/>
      <c r="I32" s="228"/>
      <c r="J32" s="228"/>
      <c r="K32" s="228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0.42152777777777778</v>
      </c>
      <c r="AD32" s="258"/>
      <c r="AE32" s="281">
        <f>SUM(AE10:AF31)</f>
        <v>5.9027777777777776E-2</v>
      </c>
      <c r="AF32" s="282"/>
      <c r="AG32" s="257">
        <f>SUM(AG10:AH31)</f>
        <v>4.0277777777777773E-2</v>
      </c>
      <c r="AH32" s="258"/>
      <c r="AI32" s="257">
        <f>SUM(AI10:AJ31)</f>
        <v>0</v>
      </c>
      <c r="AJ32" s="258"/>
      <c r="AK32" s="257">
        <f>SUM(AK10:AL31)</f>
        <v>0.47916666666666669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60" t="s">
        <v>53</v>
      </c>
      <c r="C35" s="216"/>
      <c r="D35" s="216"/>
      <c r="E35" s="216"/>
      <c r="F35" s="216"/>
      <c r="G35" s="216"/>
      <c r="H35" s="218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3"/>
      <c r="U35" s="173"/>
      <c r="V35" s="173"/>
      <c r="W35" s="173"/>
      <c r="X35" s="174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5" t="s">
        <v>60</v>
      </c>
      <c r="AH35" s="216"/>
      <c r="AI35" s="216"/>
      <c r="AJ35" s="217"/>
      <c r="AK35" s="172" t="s">
        <v>61</v>
      </c>
      <c r="AL35" s="173"/>
      <c r="AM35" s="173"/>
      <c r="AN35" s="174"/>
      <c r="AO35" s="172" t="s">
        <v>62</v>
      </c>
      <c r="AP35" s="173"/>
      <c r="AQ35" s="174"/>
      <c r="AR35" s="172" t="s">
        <v>63</v>
      </c>
      <c r="AS35" s="173"/>
      <c r="AT35" s="173"/>
      <c r="AU35" s="173"/>
      <c r="AV35" s="175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17974</v>
      </c>
      <c r="Z36" s="294"/>
      <c r="AA36" s="294"/>
      <c r="AB36" s="53" t="s">
        <v>65</v>
      </c>
      <c r="AC36" s="295">
        <v>1890</v>
      </c>
      <c r="AD36" s="296"/>
      <c r="AE36" s="296"/>
      <c r="AF36" s="54" t="s">
        <v>65</v>
      </c>
      <c r="AG36" s="297">
        <v>0</v>
      </c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16084</v>
      </c>
      <c r="AP36" s="302"/>
      <c r="AQ36" s="53" t="s">
        <v>65</v>
      </c>
      <c r="AR36" s="303" t="s">
        <v>124</v>
      </c>
      <c r="AS36" s="304"/>
      <c r="AT36" s="304"/>
      <c r="AU36" s="304"/>
      <c r="AV36" s="305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309">
        <f>SUM(AC10:AD31)</f>
        <v>0.42152777777777778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1214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56</v>
      </c>
      <c r="Z37" s="327"/>
      <c r="AA37" s="327"/>
      <c r="AB37" s="59" t="s">
        <v>65</v>
      </c>
      <c r="AC37" s="328">
        <v>3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53</v>
      </c>
      <c r="AP37" s="333"/>
      <c r="AQ37" s="59" t="s">
        <v>65</v>
      </c>
      <c r="AR37" s="306" t="s">
        <v>125</v>
      </c>
      <c r="AS37" s="307"/>
      <c r="AT37" s="307"/>
      <c r="AU37" s="307"/>
      <c r="AV37" s="308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309">
        <f>SUM(AE10:AF31)</f>
        <v>5.9027777777777776E-2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126.08333333333331</v>
      </c>
      <c r="P38" s="315"/>
      <c r="Q38" s="58" t="s">
        <v>65</v>
      </c>
      <c r="R38" s="47"/>
      <c r="S38" s="316" t="s">
        <v>70</v>
      </c>
      <c r="T38" s="236"/>
      <c r="U38" s="236"/>
      <c r="V38" s="236"/>
      <c r="W38" s="236"/>
      <c r="X38" s="249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309">
        <f>SUM(AG10:AH31)</f>
        <v>4.0277777777777773E-2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86.033333333333317</v>
      </c>
      <c r="P39" s="315"/>
      <c r="Q39" s="58" t="s">
        <v>65</v>
      </c>
      <c r="R39" s="47"/>
      <c r="S39" s="316" t="s">
        <v>72</v>
      </c>
      <c r="T39" s="236"/>
      <c r="U39" s="236"/>
      <c r="V39" s="236"/>
      <c r="W39" s="236"/>
      <c r="X39" s="249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6"/>
      <c r="U40" s="236"/>
      <c r="V40" s="236"/>
      <c r="W40" s="236"/>
      <c r="X40" s="249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309">
        <f>SUM(AK10:AL31)</f>
        <v>0.47916666666666669</v>
      </c>
      <c r="J41" s="310"/>
      <c r="K41" s="311"/>
      <c r="L41" s="312">
        <v>40</v>
      </c>
      <c r="M41" s="313"/>
      <c r="N41" s="57" t="s">
        <v>65</v>
      </c>
      <c r="O41" s="314">
        <f t="shared" si="2"/>
        <v>460</v>
      </c>
      <c r="P41" s="315"/>
      <c r="Q41" s="58" t="s">
        <v>65</v>
      </c>
      <c r="R41" s="52"/>
      <c r="S41" s="316" t="s">
        <v>77</v>
      </c>
      <c r="T41" s="236"/>
      <c r="U41" s="236"/>
      <c r="V41" s="236"/>
      <c r="W41" s="236"/>
      <c r="X41" s="249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6"/>
      <c r="U42" s="236"/>
      <c r="V42" s="236"/>
      <c r="W42" s="236"/>
      <c r="X42" s="249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8"/>
      <c r="U43" s="228"/>
      <c r="V43" s="228"/>
      <c r="W43" s="228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1886.1166666666666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 t="s">
        <v>110</v>
      </c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12-19</vt:lpstr>
      <vt:lpstr>'12-19'!Print_Area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2019-10-12T14:13:32Z</cp:lastPrinted>
  <dcterms:created xsi:type="dcterms:W3CDTF">2017-04-30T16:06:17Z</dcterms:created>
  <dcterms:modified xsi:type="dcterms:W3CDTF">2019-10-12T15:05:01Z</dcterms:modified>
</cp:coreProperties>
</file>