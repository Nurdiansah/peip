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35" windowWidth="20055" windowHeight="2475"/>
  </bookViews>
  <sheets>
    <sheet name="17-19" sheetId="270" r:id="rId1"/>
  </sheets>
  <definedNames>
    <definedName name="_xlnm.Print_Area" localSheetId="0">'17-19'!$A$1:$AW$56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<sst xmlns="http://schemas.openxmlformats.org/spreadsheetml/2006/main" count="197" uniqueCount="134">
  <si>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</si>
  <si>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</si>
  <si>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</si>
  <si>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</si>
  <si>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</si>
  <si>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</si>
  <si>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</si>
  <si>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</si>
  <si>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</si>
  <si>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</si>
  <si>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</si>
  <si>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</si>
  <si>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</si>
  <si>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</si>
  <si>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</si>
  <si>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</si>
  <si>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</si>
  <si>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</si>
  <si>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</si>
  <si>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</si>
  <si>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</si>
  <si>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</si>
  <si>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</si>
  <si>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</si>
  <si>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</si>
  <si>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</si>
  <si>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</si>
  <si>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</si>
  <si>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</si>
  <si>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</si>
  <si>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</si>
  <si>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</si>
  <si>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</si>
  <si>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</si>
  <si>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</si>
  <si>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</si>
  <si>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</si>
  <si>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</si>
  <si>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</si>
  <si>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</si>
  <si>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</si>
  <si>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</si>
  <si>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</si>
  <si>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</si>
  <si>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</si>
  <si>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</si>
  <si>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</si>
  <si>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</si>
  <si>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</si>
  <si>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</si>
  <si>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</si>
  <si>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</si>
  <si>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</si>
  <si>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</si>
  <si>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</si>
  <si>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</si>
  <si>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</si>
  <si>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</si>
  <si>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</si>
  <si>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</si>
  <si>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</si>
  <si>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</si>
  <si>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</si>
  <si>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</si>
  <si>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</si>
  <si>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</si>
  <si>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</si>
  <si>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</si>
  <si>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</si>
  <si>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</si>
  <si>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</si>
  <si>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</si>
  <si>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</si>
  <si>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</si>
  <si>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</si>
  <si>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</si>
  <si>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</si>
  <si>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</si>
  <si>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</si>
  <si>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</si>
  <si>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</si>
  <si>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</si>
  <si>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</si>
  <si>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</si>
  <si>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</si>
  <si>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</si>
  <si>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</si>
  <si>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</si>
  <si>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</si>
  <si>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</si>
  <si>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</si>
  <si>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</si>
  <si>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</si>
  <si>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</si>
  <si>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</si>
  <si>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</si>
  <si>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</si>
  <si>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</si>
  <si>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</si>
  <si>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</si>
  <si>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</si>
  <si>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</si>
  <si>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</si>
  <si>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</si>
  <si>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</si>
  <si>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</si>
  <si>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</si>
  <si>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</si>
  <si>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</si>
  <si>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</si>
  <si>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</si>
  <si>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</si>
  <si>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MA 32 standby di SBM export.</t>
  </si>
  <si>
    <t>17 October, 2019</t>
  </si>
  <si>
    <t xml:space="preserve">  00:00</t>
  </si>
  <si>
    <t>pembelokan - -SBM export.</t>
  </si>
  <si>
    <t>tahan posisi kapal menjauh dari SBM export,arus dari buritan.</t>
  </si>
  <si>
    <t>SBM export - 114 pic up material di kanan belakang 114.</t>
  </si>
  <si>
    <t>114 - drop crew SBM di SBM storage.</t>
  </si>
  <si>
    <t>selesai drop crew SBM export,MA 32 gantung di buritan mega 5</t>
  </si>
  <si>
    <t>SBM storage - SBM export,drop crew di SBM.</t>
  </si>
  <si>
    <t>SBE,lepas tali jemput crew di SBm export.</t>
  </si>
  <si>
    <t>selesai jemput dari storage - 114.</t>
  </si>
  <si>
    <t>drop personil ke 114.</t>
  </si>
  <si>
    <t>114 - mega 5,jemput crew yang akan mitting.</t>
  </si>
  <si>
    <t>mega 5 - NMS jemput crew yang akan mitting.</t>
  </si>
  <si>
    <t>MA 32,ikat di lambung kiri 114.</t>
  </si>
  <si>
    <t>NMS - 114,drop crew yang akan mitting.</t>
  </si>
  <si>
    <t>114 - NMS,drop crew NMS.</t>
  </si>
  <si>
    <t>SBM export - drop crew mega 5,ikat di buritan mega 5</t>
  </si>
  <si>
    <t>selesai drop crew di SBM export - ke SBM storage.</t>
  </si>
  <si>
    <t>11.06 s/d 11.54,survey line,dari SBM export</t>
  </si>
  <si>
    <t>to SBM storage.</t>
  </si>
  <si>
    <t>NMS - SBN export.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</si>
</sst>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20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21" zoomScale="71" zoomScaleNormal="90" zoomScaleSheetLayoutView="71" workbookViewId="0">
      <selection activeCell="Q17" sqref="Q1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1" t="s">
        <v>113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 x14ac:dyDescent="0.2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11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 t="s">
        <v>114</v>
      </c>
      <c r="X10" s="136"/>
      <c r="Y10" s="137">
        <v>4.9999999999999996E-2</v>
      </c>
      <c r="Z10" s="138"/>
      <c r="AA10" s="137"/>
      <c r="AB10" s="138"/>
      <c r="AC10" s="137">
        <v>4.5138888888888888E-2</v>
      </c>
      <c r="AD10" s="138"/>
      <c r="AE10" s="137">
        <v>2.7777777777777779E-3</v>
      </c>
      <c r="AF10" s="138"/>
      <c r="AG10" s="137">
        <v>2.0833333333333333E-3</v>
      </c>
      <c r="AH10" s="138"/>
      <c r="AI10" s="137"/>
      <c r="AJ10" s="138"/>
      <c r="AK10" s="137"/>
      <c r="AL10" s="139"/>
      <c r="AM10" s="157" t="s">
        <v>115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4.9999999999999996E-2</v>
      </c>
      <c r="X11" s="180"/>
      <c r="Y11" s="161">
        <v>9.1666666666666674E-2</v>
      </c>
      <c r="Z11" s="179"/>
      <c r="AA11" s="161"/>
      <c r="AB11" s="179"/>
      <c r="AC11" s="183"/>
      <c r="AD11" s="184"/>
      <c r="AE11" s="183"/>
      <c r="AF11" s="184"/>
      <c r="AG11" s="183"/>
      <c r="AH11" s="184"/>
      <c r="AI11" s="161"/>
      <c r="AJ11" s="179"/>
      <c r="AK11" s="161">
        <v>4.1666666666666664E-2</v>
      </c>
      <c r="AL11" s="162"/>
      <c r="AM11" s="157" t="s">
        <v>112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9.1666666666666674E-2</v>
      </c>
      <c r="X12" s="180"/>
      <c r="Y12" s="161">
        <v>0.17083333333333331</v>
      </c>
      <c r="Z12" s="178"/>
      <c r="AA12" s="161"/>
      <c r="AB12" s="179"/>
      <c r="AC12" s="161">
        <v>7.2222222222222229E-2</v>
      </c>
      <c r="AD12" s="179"/>
      <c r="AE12" s="161">
        <v>3.472222222222222E-3</v>
      </c>
      <c r="AF12" s="179"/>
      <c r="AG12" s="161">
        <v>3.472222222222222E-3</v>
      </c>
      <c r="AH12" s="179"/>
      <c r="AI12" s="181"/>
      <c r="AJ12" s="182"/>
      <c r="AK12" s="161"/>
      <c r="AL12" s="162"/>
      <c r="AM12" s="157" t="s">
        <v>116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 x14ac:dyDescent="0.25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0.17083333333333331</v>
      </c>
      <c r="X13" s="177"/>
      <c r="Y13" s="161">
        <v>0.32916666666666666</v>
      </c>
      <c r="Z13" s="178"/>
      <c r="AA13" s="161"/>
      <c r="AB13" s="179"/>
      <c r="AC13" s="183"/>
      <c r="AD13" s="184"/>
      <c r="AE13" s="161"/>
      <c r="AF13" s="179"/>
      <c r="AG13" s="161"/>
      <c r="AH13" s="179"/>
      <c r="AI13" s="185"/>
      <c r="AJ13" s="185"/>
      <c r="AK13" s="186">
        <v>0.15833333333333333</v>
      </c>
      <c r="AL13" s="187"/>
      <c r="AM13" s="157" t="s">
        <v>112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 x14ac:dyDescent="0.2">
      <c r="A14" s="4"/>
      <c r="B14" s="195" t="s">
        <v>29</v>
      </c>
      <c r="C14" s="196"/>
      <c r="D14" s="196"/>
      <c r="E14" s="196"/>
      <c r="F14" s="197" t="s">
        <v>111</v>
      </c>
      <c r="G14" s="198"/>
      <c r="H14" s="198"/>
      <c r="I14" s="199"/>
      <c r="J14" s="200" t="s">
        <v>110</v>
      </c>
      <c r="K14" s="198"/>
      <c r="L14" s="198"/>
      <c r="M14" s="199"/>
      <c r="N14" s="197" t="s">
        <v>108</v>
      </c>
      <c r="O14" s="198"/>
      <c r="P14" s="198"/>
      <c r="Q14" s="199"/>
      <c r="R14" s="200" t="s">
        <v>106</v>
      </c>
      <c r="S14" s="198"/>
      <c r="T14" s="198"/>
      <c r="U14" s="199"/>
      <c r="V14" s="99"/>
      <c r="W14" s="176">
        <v>0.32916666666666666</v>
      </c>
      <c r="X14" s="177"/>
      <c r="Y14" s="161">
        <v>0.35416666666666669</v>
      </c>
      <c r="Z14" s="178"/>
      <c r="AA14" s="161"/>
      <c r="AB14" s="179"/>
      <c r="AC14" s="161">
        <v>1.9444444444444445E-2</v>
      </c>
      <c r="AD14" s="179"/>
      <c r="AE14" s="181">
        <v>3.472222222222222E-3</v>
      </c>
      <c r="AF14" s="182"/>
      <c r="AG14" s="181">
        <v>2.0833333333333333E-3</v>
      </c>
      <c r="AH14" s="182"/>
      <c r="AI14" s="161"/>
      <c r="AJ14" s="179"/>
      <c r="AK14" s="161"/>
      <c r="AL14" s="162"/>
      <c r="AM14" s="157" t="s">
        <v>117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 x14ac:dyDescent="0.2">
      <c r="A15" s="4"/>
      <c r="B15" s="189" t="s">
        <v>30</v>
      </c>
      <c r="C15" s="190"/>
      <c r="D15" s="190"/>
      <c r="E15" s="191"/>
      <c r="F15" s="192" t="s">
        <v>109</v>
      </c>
      <c r="G15" s="193"/>
      <c r="H15" s="193"/>
      <c r="I15" s="194"/>
      <c r="J15" s="192" t="s">
        <v>104</v>
      </c>
      <c r="K15" s="193"/>
      <c r="L15" s="193"/>
      <c r="M15" s="194"/>
      <c r="N15" s="192" t="s">
        <v>105</v>
      </c>
      <c r="O15" s="193"/>
      <c r="P15" s="193"/>
      <c r="Q15" s="194"/>
      <c r="R15" s="192" t="s">
        <v>107</v>
      </c>
      <c r="S15" s="193"/>
      <c r="T15" s="193"/>
      <c r="U15" s="194"/>
      <c r="V15" s="99"/>
      <c r="W15" s="176">
        <v>0.35416666666666669</v>
      </c>
      <c r="X15" s="177"/>
      <c r="Y15" s="161">
        <v>0.37083333333333335</v>
      </c>
      <c r="Z15" s="178"/>
      <c r="AA15" s="161"/>
      <c r="AB15" s="179"/>
      <c r="AC15" s="161">
        <v>1.1805555555555555E-2</v>
      </c>
      <c r="AD15" s="179"/>
      <c r="AE15" s="161">
        <v>2.7777777777777779E-3</v>
      </c>
      <c r="AF15" s="179"/>
      <c r="AG15" s="161">
        <v>2.0833333333333333E-3</v>
      </c>
      <c r="AH15" s="179"/>
      <c r="AI15" s="161"/>
      <c r="AJ15" s="179"/>
      <c r="AK15" s="161"/>
      <c r="AL15" s="162"/>
      <c r="AM15" s="188" t="s">
        <v>118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 x14ac:dyDescent="0.25">
      <c r="A16" s="4"/>
      <c r="B16" s="201" t="s">
        <v>31</v>
      </c>
      <c r="C16" s="202"/>
      <c r="D16" s="202"/>
      <c r="E16" s="202"/>
      <c r="F16" s="203"/>
      <c r="G16" s="204"/>
      <c r="H16" s="204"/>
      <c r="I16" s="205"/>
      <c r="J16" s="203"/>
      <c r="K16" s="204"/>
      <c r="L16" s="204"/>
      <c r="M16" s="205"/>
      <c r="N16" s="203"/>
      <c r="O16" s="204"/>
      <c r="P16" s="204"/>
      <c r="Q16" s="205"/>
      <c r="R16" s="203"/>
      <c r="S16" s="204"/>
      <c r="T16" s="204"/>
      <c r="U16" s="205"/>
      <c r="V16" s="99"/>
      <c r="W16" s="176">
        <v>0.37083333333333335</v>
      </c>
      <c r="X16" s="178"/>
      <c r="Y16" s="161">
        <v>0.40416666666666662</v>
      </c>
      <c r="Z16" s="178"/>
      <c r="AA16" s="161"/>
      <c r="AB16" s="179"/>
      <c r="AC16" s="161">
        <v>2.7083333333333334E-2</v>
      </c>
      <c r="AD16" s="179"/>
      <c r="AE16" s="161">
        <v>3.472222222222222E-3</v>
      </c>
      <c r="AF16" s="179"/>
      <c r="AG16" s="161">
        <v>2.7777777777777779E-3</v>
      </c>
      <c r="AH16" s="179"/>
      <c r="AI16" s="161"/>
      <c r="AJ16" s="179"/>
      <c r="AK16" s="161"/>
      <c r="AL16" s="162"/>
      <c r="AM16" s="157" t="s">
        <v>120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0.40416666666666662</v>
      </c>
      <c r="X17" s="178"/>
      <c r="Y17" s="161">
        <v>0.42083333333333334</v>
      </c>
      <c r="Z17" s="178"/>
      <c r="AA17" s="161"/>
      <c r="AB17" s="179"/>
      <c r="AC17" s="183">
        <v>1.1805555555555555E-2</v>
      </c>
      <c r="AD17" s="184"/>
      <c r="AE17" s="183">
        <v>2.7777777777777779E-3</v>
      </c>
      <c r="AF17" s="184"/>
      <c r="AG17" s="183">
        <v>2.0833333333333333E-3</v>
      </c>
      <c r="AH17" s="184"/>
      <c r="AI17" s="161"/>
      <c r="AJ17" s="179"/>
      <c r="AK17" s="161"/>
      <c r="AL17" s="162"/>
      <c r="AM17" s="157" t="s">
        <v>119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0.42083333333333334</v>
      </c>
      <c r="X18" s="178"/>
      <c r="Y18" s="161">
        <v>0.46249999999999997</v>
      </c>
      <c r="Z18" s="178"/>
      <c r="AA18" s="161"/>
      <c r="AB18" s="179"/>
      <c r="AC18" s="161">
        <v>3.4722222222222224E-2</v>
      </c>
      <c r="AD18" s="179"/>
      <c r="AE18" s="183">
        <v>3.472222222222222E-3</v>
      </c>
      <c r="AF18" s="184"/>
      <c r="AG18" s="183">
        <v>3.472222222222222E-3</v>
      </c>
      <c r="AH18" s="184"/>
      <c r="AI18" s="161"/>
      <c r="AJ18" s="179"/>
      <c r="AK18" s="161"/>
      <c r="AL18" s="162"/>
      <c r="AM18" s="157" t="s">
        <v>121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 x14ac:dyDescent="0.25">
      <c r="A19" s="4"/>
      <c r="B19" s="34"/>
      <c r="C19" s="213" t="s">
        <v>33</v>
      </c>
      <c r="D19" s="214"/>
      <c r="E19" s="214"/>
      <c r="F19" s="214"/>
      <c r="G19" s="214"/>
      <c r="H19" s="214"/>
      <c r="I19" s="214"/>
      <c r="J19" s="214"/>
      <c r="K19" s="214"/>
      <c r="L19" s="215"/>
      <c r="M19" s="213" t="s">
        <v>34</v>
      </c>
      <c r="N19" s="214"/>
      <c r="O19" s="215"/>
      <c r="P19" s="213" t="s">
        <v>35</v>
      </c>
      <c r="Q19" s="214"/>
      <c r="R19" s="215"/>
      <c r="S19" s="213" t="s">
        <v>36</v>
      </c>
      <c r="T19" s="214"/>
      <c r="U19" s="216"/>
      <c r="V19" s="100"/>
      <c r="W19" s="176">
        <v>0.46249999999999997</v>
      </c>
      <c r="X19" s="178"/>
      <c r="Y19" s="161">
        <v>0.49583333333333335</v>
      </c>
      <c r="Z19" s="178"/>
      <c r="AA19" s="161"/>
      <c r="AB19" s="179"/>
      <c r="AC19" s="181">
        <v>2.5694444444444447E-2</v>
      </c>
      <c r="AD19" s="182"/>
      <c r="AE19" s="161">
        <v>4.1666666666666666E-3</v>
      </c>
      <c r="AF19" s="179"/>
      <c r="AG19" s="161">
        <v>3.472222222222222E-3</v>
      </c>
      <c r="AH19" s="179"/>
      <c r="AI19" s="161"/>
      <c r="AJ19" s="179"/>
      <c r="AK19" s="161"/>
      <c r="AL19" s="162"/>
      <c r="AM19" s="157" t="s">
        <v>130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 x14ac:dyDescent="0.2">
      <c r="A20" s="4"/>
      <c r="B20" s="35">
        <v>1</v>
      </c>
      <c r="C20" s="206" t="s">
        <v>94</v>
      </c>
      <c r="D20" s="196"/>
      <c r="E20" s="196"/>
      <c r="F20" s="196"/>
      <c r="G20" s="196"/>
      <c r="H20" s="196"/>
      <c r="I20" s="196"/>
      <c r="J20" s="196"/>
      <c r="K20" s="196"/>
      <c r="L20" s="11"/>
      <c r="M20" s="207">
        <v>0</v>
      </c>
      <c r="N20" s="208"/>
      <c r="O20" s="209"/>
      <c r="P20" s="207">
        <v>0</v>
      </c>
      <c r="Q20" s="208"/>
      <c r="R20" s="209"/>
      <c r="S20" s="210">
        <f>M20+P20</f>
        <v>0</v>
      </c>
      <c r="T20" s="211"/>
      <c r="U20" s="212"/>
      <c r="V20" s="101"/>
      <c r="W20" s="176">
        <v>0.49583333333333335</v>
      </c>
      <c r="X20" s="178"/>
      <c r="Y20" s="161">
        <v>0.50416666666666665</v>
      </c>
      <c r="Z20" s="179"/>
      <c r="AA20" s="183"/>
      <c r="AB20" s="184"/>
      <c r="AC20" s="161">
        <v>4.1666666666666666E-3</v>
      </c>
      <c r="AD20" s="179"/>
      <c r="AE20" s="183">
        <v>2.0833333333333333E-3</v>
      </c>
      <c r="AF20" s="184"/>
      <c r="AG20" s="183">
        <v>2.0833333333333333E-3</v>
      </c>
      <c r="AH20" s="184"/>
      <c r="AI20" s="183"/>
      <c r="AJ20" s="184"/>
      <c r="AK20" s="183"/>
      <c r="AL20" s="217"/>
      <c r="AM20" s="157" t="s">
        <v>122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 x14ac:dyDescent="0.2">
      <c r="A21" s="4"/>
      <c r="B21" s="36">
        <v>2</v>
      </c>
      <c r="C21" s="218" t="s">
        <v>37</v>
      </c>
      <c r="D21" s="190"/>
      <c r="E21" s="190"/>
      <c r="F21" s="190"/>
      <c r="G21" s="190"/>
      <c r="H21" s="190"/>
      <c r="I21" s="190"/>
      <c r="J21" s="190"/>
      <c r="K21" s="190"/>
      <c r="L21" s="16"/>
      <c r="M21" s="219">
        <v>0</v>
      </c>
      <c r="N21" s="220"/>
      <c r="O21" s="221"/>
      <c r="P21" s="219">
        <v>0</v>
      </c>
      <c r="Q21" s="220"/>
      <c r="R21" s="221"/>
      <c r="S21" s="222">
        <f t="shared" ref="S21:S25" si="0">M21+P21</f>
        <v>0</v>
      </c>
      <c r="T21" s="223"/>
      <c r="U21" s="224"/>
      <c r="V21" s="102"/>
      <c r="W21" s="176">
        <v>0.50416666666666665</v>
      </c>
      <c r="X21" s="179"/>
      <c r="Y21" s="161">
        <v>0.51250000000000007</v>
      </c>
      <c r="Z21" s="178"/>
      <c r="AA21" s="161"/>
      <c r="AB21" s="179"/>
      <c r="AC21" s="161">
        <v>4.1666666666666666E-3</v>
      </c>
      <c r="AD21" s="179"/>
      <c r="AE21" s="183">
        <v>2.0833333333333333E-3</v>
      </c>
      <c r="AF21" s="184"/>
      <c r="AG21" s="183">
        <v>2.0833333333333333E-3</v>
      </c>
      <c r="AH21" s="184"/>
      <c r="AI21" s="161"/>
      <c r="AJ21" s="179"/>
      <c r="AK21" s="161"/>
      <c r="AL21" s="162"/>
      <c r="AM21" s="157" t="s">
        <v>123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 x14ac:dyDescent="0.2">
      <c r="A22" s="4"/>
      <c r="B22" s="36">
        <v>3</v>
      </c>
      <c r="C22" s="218" t="s">
        <v>38</v>
      </c>
      <c r="D22" s="190"/>
      <c r="E22" s="190"/>
      <c r="F22" s="190"/>
      <c r="G22" s="190"/>
      <c r="H22" s="190"/>
      <c r="I22" s="190"/>
      <c r="J22" s="190"/>
      <c r="K22" s="190"/>
      <c r="L22" s="16"/>
      <c r="M22" s="219">
        <v>0</v>
      </c>
      <c r="N22" s="220"/>
      <c r="O22" s="221"/>
      <c r="P22" s="219">
        <v>0</v>
      </c>
      <c r="Q22" s="220"/>
      <c r="R22" s="221"/>
      <c r="S22" s="222">
        <f t="shared" si="0"/>
        <v>0</v>
      </c>
      <c r="T22" s="223"/>
      <c r="U22" s="224"/>
      <c r="V22" s="103"/>
      <c r="W22" s="176">
        <v>0.51250000000000007</v>
      </c>
      <c r="X22" s="179"/>
      <c r="Y22" s="161">
        <v>0.58750000000000002</v>
      </c>
      <c r="Z22" s="178"/>
      <c r="AA22" s="161"/>
      <c r="AB22" s="179"/>
      <c r="AC22" s="161"/>
      <c r="AD22" s="179"/>
      <c r="AE22" s="183"/>
      <c r="AF22" s="184"/>
      <c r="AG22" s="183"/>
      <c r="AH22" s="184"/>
      <c r="AI22" s="161"/>
      <c r="AJ22" s="179"/>
      <c r="AK22" s="161">
        <v>7.4999999999999997E-2</v>
      </c>
      <c r="AL22" s="162"/>
      <c r="AM22" s="157" t="s">
        <v>112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 x14ac:dyDescent="0.2">
      <c r="A23" s="4"/>
      <c r="B23" s="36">
        <v>4</v>
      </c>
      <c r="C23" s="218" t="s">
        <v>39</v>
      </c>
      <c r="D23" s="190"/>
      <c r="E23" s="190"/>
      <c r="F23" s="190"/>
      <c r="G23" s="190"/>
      <c r="H23" s="190"/>
      <c r="I23" s="190"/>
      <c r="J23" s="190"/>
      <c r="K23" s="190"/>
      <c r="L23" s="16"/>
      <c r="M23" s="219">
        <v>0</v>
      </c>
      <c r="N23" s="220"/>
      <c r="O23" s="221"/>
      <c r="P23" s="219">
        <v>0</v>
      </c>
      <c r="Q23" s="220"/>
      <c r="R23" s="221"/>
      <c r="S23" s="222">
        <f t="shared" si="0"/>
        <v>0</v>
      </c>
      <c r="T23" s="223"/>
      <c r="U23" s="224"/>
      <c r="V23" s="103"/>
      <c r="W23" s="176">
        <v>0.58750000000000002</v>
      </c>
      <c r="X23" s="179"/>
      <c r="Y23" s="161">
        <v>0.62083333333333335</v>
      </c>
      <c r="Z23" s="178"/>
      <c r="AA23" s="161"/>
      <c r="AB23" s="179"/>
      <c r="AC23" s="161">
        <v>2.7777777777777776E-2</v>
      </c>
      <c r="AD23" s="179"/>
      <c r="AE23" s="161">
        <v>3.472222222222222E-3</v>
      </c>
      <c r="AF23" s="179"/>
      <c r="AG23" s="183">
        <v>2.0833333333333333E-3</v>
      </c>
      <c r="AH23" s="184"/>
      <c r="AI23" s="161"/>
      <c r="AJ23" s="179"/>
      <c r="AK23" s="161"/>
      <c r="AL23" s="162"/>
      <c r="AM23" s="157" t="s">
        <v>124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 x14ac:dyDescent="0.2">
      <c r="A24" s="4"/>
      <c r="B24" s="36">
        <v>5</v>
      </c>
      <c r="C24" s="233" t="s">
        <v>40</v>
      </c>
      <c r="D24" s="234"/>
      <c r="E24" s="234"/>
      <c r="F24" s="234"/>
      <c r="G24" s="234"/>
      <c r="H24" s="234"/>
      <c r="I24" s="234"/>
      <c r="J24" s="234"/>
      <c r="K24" s="234"/>
      <c r="L24" s="16"/>
      <c r="M24" s="219">
        <v>0</v>
      </c>
      <c r="N24" s="220"/>
      <c r="O24" s="221"/>
      <c r="P24" s="219">
        <v>0</v>
      </c>
      <c r="Q24" s="220"/>
      <c r="R24" s="221"/>
      <c r="S24" s="222">
        <v>0</v>
      </c>
      <c r="T24" s="223"/>
      <c r="U24" s="224"/>
      <c r="V24" s="103"/>
      <c r="W24" s="176">
        <v>0.62083333333333335</v>
      </c>
      <c r="X24" s="178"/>
      <c r="Y24" s="161">
        <v>0.65416666666666667</v>
      </c>
      <c r="Z24" s="178"/>
      <c r="AA24" s="161"/>
      <c r="AB24" s="179"/>
      <c r="AC24" s="161">
        <v>2.7777777777777776E-2</v>
      </c>
      <c r="AD24" s="179"/>
      <c r="AE24" s="181">
        <v>2.7777777777777779E-3</v>
      </c>
      <c r="AF24" s="182"/>
      <c r="AG24" s="161">
        <v>2.7777777777777779E-3</v>
      </c>
      <c r="AH24" s="179"/>
      <c r="AI24" s="185"/>
      <c r="AJ24" s="185"/>
      <c r="AK24" s="186"/>
      <c r="AL24" s="187"/>
      <c r="AM24" s="157" t="s">
        <v>125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 x14ac:dyDescent="0.25">
      <c r="A25" s="4"/>
      <c r="B25" s="37">
        <v>6</v>
      </c>
      <c r="C25" s="225" t="s">
        <v>41</v>
      </c>
      <c r="D25" s="226"/>
      <c r="E25" s="226"/>
      <c r="F25" s="226"/>
      <c r="G25" s="226"/>
      <c r="H25" s="226"/>
      <c r="I25" s="226"/>
      <c r="J25" s="226"/>
      <c r="K25" s="226"/>
      <c r="L25" s="38"/>
      <c r="M25" s="227">
        <v>0</v>
      </c>
      <c r="N25" s="228"/>
      <c r="O25" s="229"/>
      <c r="P25" s="227">
        <v>0</v>
      </c>
      <c r="Q25" s="228"/>
      <c r="R25" s="229"/>
      <c r="S25" s="230">
        <f t="shared" si="0"/>
        <v>0</v>
      </c>
      <c r="T25" s="231"/>
      <c r="U25" s="232"/>
      <c r="V25" s="103"/>
      <c r="W25" s="176">
        <v>0.65416666666666667</v>
      </c>
      <c r="X25" s="177"/>
      <c r="Y25" s="161">
        <v>0.67499999999999993</v>
      </c>
      <c r="Z25" s="178"/>
      <c r="AA25" s="161"/>
      <c r="AB25" s="179"/>
      <c r="AC25" s="161">
        <v>1.5277777777777777E-2</v>
      </c>
      <c r="AD25" s="179"/>
      <c r="AE25" s="161">
        <v>3.472222222222222E-3</v>
      </c>
      <c r="AF25" s="179"/>
      <c r="AG25" s="183">
        <v>2.0833333333333333E-3</v>
      </c>
      <c r="AH25" s="184"/>
      <c r="AI25" s="161"/>
      <c r="AJ25" s="179"/>
      <c r="AK25" s="161"/>
      <c r="AL25" s="162"/>
      <c r="AM25" s="157" t="s">
        <v>127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 x14ac:dyDescent="0.25">
      <c r="A26" s="4"/>
      <c r="B26" s="34" t="s">
        <v>42</v>
      </c>
      <c r="C26" s="213" t="s">
        <v>43</v>
      </c>
      <c r="D26" s="214"/>
      <c r="E26" s="214"/>
      <c r="F26" s="214"/>
      <c r="G26" s="214"/>
      <c r="H26" s="214"/>
      <c r="I26" s="214"/>
      <c r="J26" s="214"/>
      <c r="K26" s="214"/>
      <c r="L26" s="215"/>
      <c r="M26" s="213" t="s">
        <v>34</v>
      </c>
      <c r="N26" s="214"/>
      <c r="O26" s="215"/>
      <c r="P26" s="213" t="s">
        <v>35</v>
      </c>
      <c r="Q26" s="214"/>
      <c r="R26" s="215"/>
      <c r="S26" s="244" t="s">
        <v>44</v>
      </c>
      <c r="T26" s="245"/>
      <c r="U26" s="246"/>
      <c r="V26" s="103"/>
      <c r="W26" s="176">
        <v>0.67499999999999993</v>
      </c>
      <c r="X26" s="178"/>
      <c r="Y26" s="180">
        <v>0.77083333333333337</v>
      </c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>
        <v>9.5833333333333326E-2</v>
      </c>
      <c r="AL26" s="162"/>
      <c r="AM26" s="157" t="s">
        <v>126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 x14ac:dyDescent="0.2">
      <c r="A27" s="4"/>
      <c r="B27" s="35">
        <v>1</v>
      </c>
      <c r="C27" s="235" t="s">
        <v>45</v>
      </c>
      <c r="D27" s="236"/>
      <c r="E27" s="236"/>
      <c r="F27" s="236"/>
      <c r="G27" s="236"/>
      <c r="H27" s="236"/>
      <c r="I27" s="236"/>
      <c r="J27" s="236"/>
      <c r="K27" s="236"/>
      <c r="L27" s="237"/>
      <c r="M27" s="238">
        <v>0</v>
      </c>
      <c r="N27" s="239"/>
      <c r="O27" s="240"/>
      <c r="P27" s="238">
        <v>0</v>
      </c>
      <c r="Q27" s="239"/>
      <c r="R27" s="240"/>
      <c r="S27" s="241">
        <f t="shared" ref="S27:S32" si="1">M27+P27</f>
        <v>0</v>
      </c>
      <c r="T27" s="242"/>
      <c r="U27" s="243"/>
      <c r="V27" s="29"/>
      <c r="W27" s="176">
        <v>0.77083333333333337</v>
      </c>
      <c r="X27" s="178"/>
      <c r="Y27" s="180">
        <v>0.78749999999999998</v>
      </c>
      <c r="Z27" s="178"/>
      <c r="AA27" s="161"/>
      <c r="AB27" s="179"/>
      <c r="AC27" s="161">
        <v>1.1111111111111112E-2</v>
      </c>
      <c r="AD27" s="179"/>
      <c r="AE27" s="181">
        <v>3.472222222222222E-3</v>
      </c>
      <c r="AF27" s="182"/>
      <c r="AG27" s="181">
        <v>2.0833333333333333E-3</v>
      </c>
      <c r="AH27" s="182"/>
      <c r="AI27" s="161"/>
      <c r="AJ27" s="179"/>
      <c r="AK27" s="161"/>
      <c r="AL27" s="179"/>
      <c r="AM27" s="157" t="s">
        <v>128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 x14ac:dyDescent="0.2">
      <c r="A28" s="4"/>
      <c r="B28" s="36">
        <v>2</v>
      </c>
      <c r="C28" s="233" t="s">
        <v>46</v>
      </c>
      <c r="D28" s="234"/>
      <c r="E28" s="234"/>
      <c r="F28" s="234"/>
      <c r="G28" s="234"/>
      <c r="H28" s="234"/>
      <c r="I28" s="234"/>
      <c r="J28" s="234"/>
      <c r="K28" s="234"/>
      <c r="L28" s="247"/>
      <c r="M28" s="248">
        <v>0</v>
      </c>
      <c r="N28" s="249"/>
      <c r="O28" s="250"/>
      <c r="P28" s="248">
        <v>0</v>
      </c>
      <c r="Q28" s="249"/>
      <c r="R28" s="250"/>
      <c r="S28" s="251">
        <f t="shared" si="1"/>
        <v>0</v>
      </c>
      <c r="T28" s="252"/>
      <c r="U28" s="253"/>
      <c r="V28" s="30"/>
      <c r="W28" s="176">
        <v>0.78749999999999998</v>
      </c>
      <c r="X28" s="177"/>
      <c r="Y28" s="161">
        <v>0.82916666666666661</v>
      </c>
      <c r="Z28" s="178"/>
      <c r="AA28" s="161"/>
      <c r="AB28" s="179"/>
      <c r="AC28" s="161">
        <v>3.4722222222222224E-2</v>
      </c>
      <c r="AD28" s="179"/>
      <c r="AE28" s="183">
        <v>3.472222222222222E-3</v>
      </c>
      <c r="AF28" s="184"/>
      <c r="AG28" s="161">
        <v>3.472222222222222E-3</v>
      </c>
      <c r="AH28" s="179"/>
      <c r="AI28" s="161"/>
      <c r="AJ28" s="179"/>
      <c r="AK28" s="161"/>
      <c r="AL28" s="162"/>
      <c r="AM28" s="157" t="s">
        <v>133</v>
      </c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 x14ac:dyDescent="0.2">
      <c r="A29" s="4"/>
      <c r="B29" s="13"/>
      <c r="C29" s="39" t="s">
        <v>19</v>
      </c>
      <c r="D29" s="234" t="s">
        <v>47</v>
      </c>
      <c r="E29" s="234"/>
      <c r="F29" s="234"/>
      <c r="G29" s="234"/>
      <c r="H29" s="234"/>
      <c r="I29" s="234"/>
      <c r="J29" s="234"/>
      <c r="K29" s="234"/>
      <c r="L29" s="247"/>
      <c r="M29" s="248">
        <v>0</v>
      </c>
      <c r="N29" s="249"/>
      <c r="O29" s="250"/>
      <c r="P29" s="248">
        <v>0</v>
      </c>
      <c r="Q29" s="249"/>
      <c r="R29" s="250"/>
      <c r="S29" s="251">
        <f t="shared" si="1"/>
        <v>0</v>
      </c>
      <c r="T29" s="252"/>
      <c r="U29" s="253"/>
      <c r="V29" s="30"/>
      <c r="W29" s="254">
        <v>0.82916666666666661</v>
      </c>
      <c r="X29" s="178"/>
      <c r="Y29" s="177">
        <v>0.8666666666666667</v>
      </c>
      <c r="Z29" s="177"/>
      <c r="AA29" s="161"/>
      <c r="AB29" s="179"/>
      <c r="AC29" s="161">
        <v>2.7083333333333334E-2</v>
      </c>
      <c r="AD29" s="179"/>
      <c r="AE29" s="183">
        <v>6.9444444444444441E-3</v>
      </c>
      <c r="AF29" s="184"/>
      <c r="AG29" s="161">
        <v>3.472222222222222E-3</v>
      </c>
      <c r="AH29" s="179"/>
      <c r="AI29" s="161"/>
      <c r="AJ29" s="179"/>
      <c r="AK29" s="161"/>
      <c r="AL29" s="162"/>
      <c r="AM29" s="157" t="s">
        <v>129</v>
      </c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 x14ac:dyDescent="0.2">
      <c r="A30" s="4"/>
      <c r="B30" s="13"/>
      <c r="C30" s="39" t="s">
        <v>19</v>
      </c>
      <c r="D30" s="234" t="s">
        <v>48</v>
      </c>
      <c r="E30" s="234"/>
      <c r="F30" s="234"/>
      <c r="G30" s="234"/>
      <c r="H30" s="234"/>
      <c r="I30" s="234"/>
      <c r="J30" s="234"/>
      <c r="K30" s="234"/>
      <c r="L30" s="247"/>
      <c r="M30" s="248">
        <v>0</v>
      </c>
      <c r="N30" s="249"/>
      <c r="O30" s="250"/>
      <c r="P30" s="248">
        <v>0</v>
      </c>
      <c r="Q30" s="249"/>
      <c r="R30" s="250"/>
      <c r="S30" s="251">
        <f t="shared" si="1"/>
        <v>0</v>
      </c>
      <c r="T30" s="252"/>
      <c r="U30" s="253"/>
      <c r="V30" s="30"/>
      <c r="W30" s="254">
        <v>0.8666666666666667</v>
      </c>
      <c r="X30" s="178"/>
      <c r="Y30" s="255">
        <v>1</v>
      </c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>
        <v>0.13333333333333333</v>
      </c>
      <c r="AL30" s="162"/>
      <c r="AM30" s="157" t="s">
        <v>112</v>
      </c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 x14ac:dyDescent="0.2">
      <c r="A31" s="4"/>
      <c r="B31" s="13"/>
      <c r="C31" s="39" t="s">
        <v>19</v>
      </c>
      <c r="D31" s="234" t="s">
        <v>49</v>
      </c>
      <c r="E31" s="234"/>
      <c r="F31" s="234"/>
      <c r="G31" s="234"/>
      <c r="H31" s="234"/>
      <c r="I31" s="234"/>
      <c r="J31" s="234"/>
      <c r="K31" s="234"/>
      <c r="L31" s="247"/>
      <c r="M31" s="248">
        <v>0</v>
      </c>
      <c r="N31" s="249"/>
      <c r="O31" s="250"/>
      <c r="P31" s="248">
        <v>0</v>
      </c>
      <c r="Q31" s="249"/>
      <c r="R31" s="250"/>
      <c r="S31" s="251">
        <f t="shared" si="1"/>
        <v>0</v>
      </c>
      <c r="T31" s="252"/>
      <c r="U31" s="253"/>
      <c r="V31" s="30"/>
      <c r="W31" s="254"/>
      <c r="X31" s="178"/>
      <c r="Y31" s="255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 x14ac:dyDescent="0.25">
      <c r="A32" s="4"/>
      <c r="B32" s="21"/>
      <c r="C32" s="40" t="s">
        <v>19</v>
      </c>
      <c r="D32" s="226" t="s">
        <v>50</v>
      </c>
      <c r="E32" s="226"/>
      <c r="F32" s="226"/>
      <c r="G32" s="226"/>
      <c r="H32" s="226"/>
      <c r="I32" s="226"/>
      <c r="J32" s="226"/>
      <c r="K32" s="226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0.40000000000000008</v>
      </c>
      <c r="AD32" s="257"/>
      <c r="AE32" s="280">
        <f>SUM(AE10:AF31)</f>
        <v>5.4166666666666669E-2</v>
      </c>
      <c r="AF32" s="281"/>
      <c r="AG32" s="256">
        <f>SUM(AG10:AH31)</f>
        <v>4.1666666666666671E-2</v>
      </c>
      <c r="AH32" s="257"/>
      <c r="AI32" s="256">
        <f>SUM(AI10:AJ31)</f>
        <v>0</v>
      </c>
      <c r="AJ32" s="257"/>
      <c r="AK32" s="256">
        <f>SUM(AK10:AL31)</f>
        <v>0.50416666666666665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59" t="s">
        <v>53</v>
      </c>
      <c r="C35" s="214"/>
      <c r="D35" s="214"/>
      <c r="E35" s="214"/>
      <c r="F35" s="214"/>
      <c r="G35" s="214"/>
      <c r="H35" s="216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3" t="s">
        <v>60</v>
      </c>
      <c r="AH35" s="214"/>
      <c r="AI35" s="214"/>
      <c r="AJ35" s="215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23196</v>
      </c>
      <c r="Z36" s="293"/>
      <c r="AA36" s="293"/>
      <c r="AB36" s="53" t="s">
        <v>65</v>
      </c>
      <c r="AC36" s="294">
        <v>1856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21340</v>
      </c>
      <c r="AP36" s="301"/>
      <c r="AQ36" s="53" t="s">
        <v>65</v>
      </c>
      <c r="AR36" s="302" t="s">
        <v>131</v>
      </c>
      <c r="AS36" s="303"/>
      <c r="AT36" s="303"/>
      <c r="AU36" s="303"/>
      <c r="AV36" s="304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0.40000000000000008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1152.0000000000002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39</v>
      </c>
      <c r="Z37" s="326"/>
      <c r="AA37" s="326"/>
      <c r="AB37" s="59" t="s">
        <v>65</v>
      </c>
      <c r="AC37" s="327">
        <v>3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36</v>
      </c>
      <c r="AP37" s="332"/>
      <c r="AQ37" s="59" t="s">
        <v>65</v>
      </c>
      <c r="AR37" s="305" t="s">
        <v>132</v>
      </c>
      <c r="AS37" s="306"/>
      <c r="AT37" s="306"/>
      <c r="AU37" s="306"/>
      <c r="AV37" s="307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5.4166666666666669E-2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115.7</v>
      </c>
      <c r="P38" s="314"/>
      <c r="Q38" s="58" t="s">
        <v>65</v>
      </c>
      <c r="R38" s="47"/>
      <c r="S38" s="315" t="s">
        <v>70</v>
      </c>
      <c r="T38" s="234"/>
      <c r="U38" s="234"/>
      <c r="V38" s="234"/>
      <c r="W38" s="234"/>
      <c r="X38" s="247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4.1666666666666671E-2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89</v>
      </c>
      <c r="P39" s="314"/>
      <c r="Q39" s="58" t="s">
        <v>65</v>
      </c>
      <c r="R39" s="47"/>
      <c r="S39" s="315" t="s">
        <v>72</v>
      </c>
      <c r="T39" s="234"/>
      <c r="U39" s="234"/>
      <c r="V39" s="234"/>
      <c r="W39" s="234"/>
      <c r="X39" s="247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4"/>
      <c r="U40" s="234"/>
      <c r="V40" s="234"/>
      <c r="W40" s="234"/>
      <c r="X40" s="247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0.50416666666666665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484</v>
      </c>
      <c r="P41" s="314"/>
      <c r="Q41" s="58" t="s">
        <v>65</v>
      </c>
      <c r="R41" s="52"/>
      <c r="S41" s="315" t="s">
        <v>77</v>
      </c>
      <c r="T41" s="234"/>
      <c r="U41" s="234"/>
      <c r="V41" s="234"/>
      <c r="W41" s="234"/>
      <c r="X41" s="247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4"/>
      <c r="U42" s="234"/>
      <c r="V42" s="234"/>
      <c r="W42" s="234"/>
      <c r="X42" s="247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6"/>
      <c r="U43" s="226"/>
      <c r="V43" s="226"/>
      <c r="W43" s="226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 x14ac:dyDescent="0.25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1840.7000000000003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17-19</vt:lpstr>
      <vt:lpstr>'17-19'!Print_Area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USER</cp:lastModifiedBy>
  <cp:lastPrinted>2019-10-21T02:00:41Z</cp:lastPrinted>
  <dcterms:created xsi:type="dcterms:W3CDTF">2017-04-30T16:06:17Z</dcterms:created>
  <dcterms:modified xsi:type="dcterms:W3CDTF">2019-10-21T02:01:35Z</dcterms:modified>
</cp:coreProperties>
</file>