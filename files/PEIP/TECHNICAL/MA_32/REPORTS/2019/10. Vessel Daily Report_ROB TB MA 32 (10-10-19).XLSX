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0-19" sheetId="270" r:id="rId1"/>
  </sheets>
  <definedNames>
    <definedName name="_xlnm.Print_Area" localSheetId="0">'10-19'!$A$1:$AW$56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<sst xmlns="http://schemas.openxmlformats.org/spreadsheetml/2006/main" count="191" uniqueCount="126">
  <si>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</si>
  <si>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</si>
  <si>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</si>
  <si>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</si>
  <si>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</si>
  <si>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</si>
  <si>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</si>
  <si>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</si>
  <si>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</si>
  <si>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</si>
  <si>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</si>
  <si>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</si>
  <si>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</si>
  <si>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</si>
  <si>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</si>
  <si>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</si>
  <si>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</si>
  <si>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</si>
  <si>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</si>
  <si>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</si>
  <si>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</si>
  <si>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</si>
  <si>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</si>
  <si>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</si>
  <si>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</si>
  <si>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</si>
  <si>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</si>
  <si>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</si>
  <si>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</si>
  <si>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</si>
  <si>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</si>
  <si>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</si>
  <si>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</si>
  <si>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</si>
  <si>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</si>
  <si>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</si>
  <si>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</si>
  <si>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</si>
  <si>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</si>
  <si>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</si>
  <si>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</si>
  <si>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</si>
  <si>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</si>
  <si>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</si>
  <si>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</si>
  <si>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</si>
  <si>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</si>
  <si>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</si>
  <si>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</si>
  <si>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</si>
  <si>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</si>
  <si>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</si>
  <si>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</si>
  <si>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</si>
  <si>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</si>
  <si>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</si>
  <si>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</si>
  <si>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</si>
  <si>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</si>
  <si>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</si>
  <si>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</si>
  <si>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</si>
  <si>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</si>
  <si>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</si>
  <si>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</si>
  <si>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</si>
  <si>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</si>
  <si>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</si>
  <si>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</si>
  <si>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</si>
  <si>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</si>
  <si>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</si>
  <si>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</si>
  <si>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</si>
  <si>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</si>
  <si>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</si>
  <si>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</si>
  <si>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</si>
  <si>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</si>
  <si>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</si>
  <si>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</si>
  <si>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</si>
  <si>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</si>
  <si>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</si>
  <si>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</si>
  <si>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</si>
  <si>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</si>
  <si>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</si>
  <si>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</si>
  <si>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</si>
  <si>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</si>
  <si>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</si>
  <si>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</si>
  <si>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</si>
  <si>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</si>
  <si>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</si>
  <si>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</si>
  <si>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</si>
  <si>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</si>
  <si>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</si>
  <si>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</si>
  <si>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</si>
  <si>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</si>
  <si>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</si>
  <si>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</si>
  <si>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</si>
  <si>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</si>
  <si>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</si>
  <si>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</si>
  <si>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</si>
  <si>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</si>
  <si>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</si>
  <si>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10 October, 2019</t>
  </si>
  <si>
    <t>Tahan posisi kapal menjauh dari benturan lambung kiri 114.</t>
  </si>
  <si>
    <t>114 - tanker,drop makanan.</t>
  </si>
  <si>
    <t>survey line SBM export - SBM storage,lanjut ikat di lambung kiri 114.</t>
  </si>
  <si>
    <t>jemput agen ke 114.</t>
  </si>
  <si>
    <t>114 - tanker,drop agen.</t>
  </si>
  <si>
    <t>ngapung2 di sebelah kiri tanker /selesai mooring.</t>
  </si>
  <si>
    <t>servis mooring line.</t>
  </si>
  <si>
    <t>SBM export - 114,drop crew yang akan metting.</t>
  </si>
  <si>
    <t>MA 32 standby di lambung kiri 114.</t>
  </si>
  <si>
    <t>114 - NMS drop crew,lanjut survey line - SBM export.</t>
  </si>
  <si>
    <t>MA 32 standby di SBM export.</t>
  </si>
  <si>
    <t>tahan posisi kapal menjauh dari benturan hose,arus mulai berubah.</t>
  </si>
  <si>
    <t>17.30 s/d 17.48,survey line.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</si>
</sst>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7" zoomScale="71" zoomScaleNormal="90" zoomScaleSheetLayoutView="71" workbookViewId="0">
      <selection activeCell="W16" sqref="W16:X1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112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9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4.1666666666666666E-3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4.1666666666666666E-3</v>
      </c>
      <c r="AL10" s="139"/>
      <c r="AM10" s="157" t="s">
        <v>111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4.1666666666666666E-3</v>
      </c>
      <c r="X11" s="182"/>
      <c r="Y11" s="161">
        <v>9.5833333333333326E-2</v>
      </c>
      <c r="Z11" s="180"/>
      <c r="AA11" s="161"/>
      <c r="AB11" s="180"/>
      <c r="AC11" s="185">
        <v>7.2916666666666671E-2</v>
      </c>
      <c r="AD11" s="186"/>
      <c r="AE11" s="185">
        <v>1.3888888888888888E-2</v>
      </c>
      <c r="AF11" s="186"/>
      <c r="AG11" s="185">
        <v>4.8611111111111112E-3</v>
      </c>
      <c r="AH11" s="186"/>
      <c r="AI11" s="161"/>
      <c r="AJ11" s="180"/>
      <c r="AK11" s="161"/>
      <c r="AL11" s="162"/>
      <c r="AM11" s="157" t="s">
        <v>113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9.5833333333333326E-2</v>
      </c>
      <c r="X12" s="182"/>
      <c r="Y12" s="178">
        <v>0.16666666666666666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7.0833333333333331E-2</v>
      </c>
      <c r="AL12" s="162"/>
      <c r="AM12" s="157" t="s">
        <v>111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0.16666666666666666</v>
      </c>
      <c r="X13" s="177"/>
      <c r="Y13" s="178">
        <v>0.19791666666666666</v>
      </c>
      <c r="Z13" s="179"/>
      <c r="AA13" s="161"/>
      <c r="AB13" s="180"/>
      <c r="AC13" s="185">
        <v>2.4305555555555556E-2</v>
      </c>
      <c r="AD13" s="186"/>
      <c r="AE13" s="161">
        <v>4.1666666666666666E-3</v>
      </c>
      <c r="AF13" s="180"/>
      <c r="AG13" s="161">
        <v>2.7777777777777779E-3</v>
      </c>
      <c r="AH13" s="180"/>
      <c r="AI13" s="187"/>
      <c r="AJ13" s="187"/>
      <c r="AK13" s="188"/>
      <c r="AL13" s="189"/>
      <c r="AM13" s="157" t="s">
        <v>114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7" t="s">
        <v>29</v>
      </c>
      <c r="C14" s="198"/>
      <c r="D14" s="198"/>
      <c r="E14" s="198"/>
      <c r="F14" s="199" t="s">
        <v>99</v>
      </c>
      <c r="G14" s="200"/>
      <c r="H14" s="200"/>
      <c r="I14" s="201"/>
      <c r="J14" s="202" t="s">
        <v>108</v>
      </c>
      <c r="K14" s="200"/>
      <c r="L14" s="200"/>
      <c r="M14" s="201"/>
      <c r="N14" s="199" t="s">
        <v>109</v>
      </c>
      <c r="O14" s="200"/>
      <c r="P14" s="200"/>
      <c r="Q14" s="201"/>
      <c r="R14" s="202" t="s">
        <v>107</v>
      </c>
      <c r="S14" s="200"/>
      <c r="T14" s="200"/>
      <c r="U14" s="201"/>
      <c r="V14" s="99"/>
      <c r="W14" s="176">
        <v>0.19791666666666666</v>
      </c>
      <c r="X14" s="177"/>
      <c r="Y14" s="178">
        <v>0.23333333333333331</v>
      </c>
      <c r="Z14" s="179"/>
      <c r="AA14" s="161"/>
      <c r="AB14" s="180"/>
      <c r="AC14" s="161">
        <v>2.8472222222222222E-2</v>
      </c>
      <c r="AD14" s="180"/>
      <c r="AE14" s="183">
        <v>3.472222222222222E-3</v>
      </c>
      <c r="AF14" s="184"/>
      <c r="AG14" s="183">
        <v>3.472222222222222E-3</v>
      </c>
      <c r="AH14" s="184"/>
      <c r="AI14" s="161"/>
      <c r="AJ14" s="180"/>
      <c r="AK14" s="161"/>
      <c r="AL14" s="162"/>
      <c r="AM14" s="157" t="s">
        <v>115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91" t="s">
        <v>30</v>
      </c>
      <c r="C15" s="192"/>
      <c r="D15" s="192"/>
      <c r="E15" s="193"/>
      <c r="F15" s="194" t="s">
        <v>98</v>
      </c>
      <c r="G15" s="195"/>
      <c r="H15" s="195"/>
      <c r="I15" s="196"/>
      <c r="J15" s="194" t="s">
        <v>105</v>
      </c>
      <c r="K15" s="195"/>
      <c r="L15" s="195"/>
      <c r="M15" s="196"/>
      <c r="N15" s="194" t="s">
        <v>106</v>
      </c>
      <c r="O15" s="195"/>
      <c r="P15" s="195"/>
      <c r="Q15" s="196"/>
      <c r="R15" s="194" t="s">
        <v>98</v>
      </c>
      <c r="S15" s="195"/>
      <c r="T15" s="195"/>
      <c r="U15" s="196"/>
      <c r="V15" s="99"/>
      <c r="W15" s="176">
        <v>0.23333333333333331</v>
      </c>
      <c r="X15" s="177"/>
      <c r="Y15" s="178">
        <v>0.33749999999999997</v>
      </c>
      <c r="Z15" s="179"/>
      <c r="AA15" s="161"/>
      <c r="AB15" s="180"/>
      <c r="AC15" s="161"/>
      <c r="AD15" s="180"/>
      <c r="AE15" s="161"/>
      <c r="AF15" s="180"/>
      <c r="AG15" s="161"/>
      <c r="AH15" s="180"/>
      <c r="AI15" s="161"/>
      <c r="AJ15" s="180"/>
      <c r="AK15" s="161">
        <v>0.10416666666666667</v>
      </c>
      <c r="AL15" s="162"/>
      <c r="AM15" s="190" t="s">
        <v>111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6">
        <v>0.33749999999999997</v>
      </c>
      <c r="X16" s="179"/>
      <c r="Y16" s="178">
        <v>0.40833333333333338</v>
      </c>
      <c r="Z16" s="179"/>
      <c r="AA16" s="161"/>
      <c r="AB16" s="180"/>
      <c r="AC16" s="161">
        <v>4.6527777777777779E-2</v>
      </c>
      <c r="AD16" s="180"/>
      <c r="AE16" s="161">
        <v>1.7361111111111112E-2</v>
      </c>
      <c r="AF16" s="180"/>
      <c r="AG16" s="161">
        <v>6.9444444444444441E-3</v>
      </c>
      <c r="AH16" s="180"/>
      <c r="AI16" s="161"/>
      <c r="AJ16" s="180"/>
      <c r="AK16" s="161"/>
      <c r="AL16" s="162"/>
      <c r="AM16" s="157" t="s">
        <v>116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0.40833333333333338</v>
      </c>
      <c r="X17" s="179"/>
      <c r="Y17" s="178">
        <v>0.4375</v>
      </c>
      <c r="Z17" s="179"/>
      <c r="AA17" s="161"/>
      <c r="AB17" s="180"/>
      <c r="AC17" s="185">
        <v>2.2222222222222223E-2</v>
      </c>
      <c r="AD17" s="186"/>
      <c r="AE17" s="185">
        <v>3.472222222222222E-3</v>
      </c>
      <c r="AF17" s="186"/>
      <c r="AG17" s="185">
        <v>3.472222222222222E-3</v>
      </c>
      <c r="AH17" s="186"/>
      <c r="AI17" s="161"/>
      <c r="AJ17" s="180"/>
      <c r="AK17" s="161"/>
      <c r="AL17" s="162"/>
      <c r="AM17" s="157" t="s">
        <v>117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0.4375</v>
      </c>
      <c r="X18" s="179"/>
      <c r="Y18" s="178">
        <v>0.50416666666666665</v>
      </c>
      <c r="Z18" s="179"/>
      <c r="AA18" s="161"/>
      <c r="AB18" s="180"/>
      <c r="AC18" s="161">
        <v>4.7916666666666663E-2</v>
      </c>
      <c r="AD18" s="180"/>
      <c r="AE18" s="185">
        <v>1.3888888888888888E-2</v>
      </c>
      <c r="AF18" s="186"/>
      <c r="AG18" s="185">
        <v>4.8611111111111112E-3</v>
      </c>
      <c r="AH18" s="186"/>
      <c r="AI18" s="161"/>
      <c r="AJ18" s="180"/>
      <c r="AK18" s="161"/>
      <c r="AL18" s="162"/>
      <c r="AM18" s="157" t="s">
        <v>118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5" t="s">
        <v>33</v>
      </c>
      <c r="D19" s="216"/>
      <c r="E19" s="216"/>
      <c r="F19" s="216"/>
      <c r="G19" s="216"/>
      <c r="H19" s="216"/>
      <c r="I19" s="216"/>
      <c r="J19" s="216"/>
      <c r="K19" s="216"/>
      <c r="L19" s="217"/>
      <c r="M19" s="215" t="s">
        <v>34</v>
      </c>
      <c r="N19" s="216"/>
      <c r="O19" s="217"/>
      <c r="P19" s="215" t="s">
        <v>35</v>
      </c>
      <c r="Q19" s="216"/>
      <c r="R19" s="217"/>
      <c r="S19" s="215" t="s">
        <v>36</v>
      </c>
      <c r="T19" s="216"/>
      <c r="U19" s="218"/>
      <c r="V19" s="100"/>
      <c r="W19" s="176">
        <v>0.50416666666666665</v>
      </c>
      <c r="X19" s="179"/>
      <c r="Y19" s="178">
        <v>0.5541666666666667</v>
      </c>
      <c r="Z19" s="179"/>
      <c r="AA19" s="161"/>
      <c r="AB19" s="180"/>
      <c r="AC19" s="183">
        <v>2.9166666666666664E-2</v>
      </c>
      <c r="AD19" s="184"/>
      <c r="AE19" s="161">
        <v>1.3888888888888888E-2</v>
      </c>
      <c r="AF19" s="180"/>
      <c r="AG19" s="161">
        <v>6.9444444444444441E-3</v>
      </c>
      <c r="AH19" s="180"/>
      <c r="AI19" s="161"/>
      <c r="AJ19" s="180"/>
      <c r="AK19" s="161"/>
      <c r="AL19" s="162"/>
      <c r="AM19" s="157" t="s">
        <v>119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8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09">
        <v>0</v>
      </c>
      <c r="N20" s="210"/>
      <c r="O20" s="211"/>
      <c r="P20" s="209">
        <v>0</v>
      </c>
      <c r="Q20" s="210"/>
      <c r="R20" s="211"/>
      <c r="S20" s="212">
        <f>M20+P20</f>
        <v>0</v>
      </c>
      <c r="T20" s="213"/>
      <c r="U20" s="214"/>
      <c r="V20" s="101"/>
      <c r="W20" s="176">
        <v>0.5541666666666667</v>
      </c>
      <c r="X20" s="179"/>
      <c r="Y20" s="161">
        <v>0.58750000000000002</v>
      </c>
      <c r="Z20" s="180"/>
      <c r="AA20" s="185"/>
      <c r="AB20" s="186"/>
      <c r="AC20" s="161"/>
      <c r="AD20" s="180"/>
      <c r="AE20" s="185"/>
      <c r="AF20" s="186"/>
      <c r="AG20" s="185"/>
      <c r="AH20" s="186"/>
      <c r="AI20" s="185"/>
      <c r="AJ20" s="186"/>
      <c r="AK20" s="185">
        <v>3.3333333333333333E-2</v>
      </c>
      <c r="AL20" s="219"/>
      <c r="AM20" s="157" t="s">
        <v>111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20" t="s">
        <v>37</v>
      </c>
      <c r="D21" s="192"/>
      <c r="E21" s="192"/>
      <c r="F21" s="192"/>
      <c r="G21" s="192"/>
      <c r="H21" s="192"/>
      <c r="I21" s="192"/>
      <c r="J21" s="192"/>
      <c r="K21" s="192"/>
      <c r="L21" s="16"/>
      <c r="M21" s="221">
        <v>0</v>
      </c>
      <c r="N21" s="222"/>
      <c r="O21" s="223"/>
      <c r="P21" s="221">
        <v>0</v>
      </c>
      <c r="Q21" s="222"/>
      <c r="R21" s="223"/>
      <c r="S21" s="224">
        <f t="shared" ref="S21:S25" si="0">M21+P21</f>
        <v>0</v>
      </c>
      <c r="T21" s="225"/>
      <c r="U21" s="226"/>
      <c r="V21" s="102"/>
      <c r="W21" s="181">
        <v>0.58750000000000002</v>
      </c>
      <c r="X21" s="180"/>
      <c r="Y21" s="161">
        <v>0.65</v>
      </c>
      <c r="Z21" s="179"/>
      <c r="AA21" s="161"/>
      <c r="AB21" s="180"/>
      <c r="AC21" s="161">
        <v>5.2083333333333336E-2</v>
      </c>
      <c r="AD21" s="180"/>
      <c r="AE21" s="185">
        <v>6.9444444444444441E-3</v>
      </c>
      <c r="AF21" s="186"/>
      <c r="AG21" s="185">
        <v>3.472222222222222E-3</v>
      </c>
      <c r="AH21" s="186"/>
      <c r="AI21" s="161"/>
      <c r="AJ21" s="180"/>
      <c r="AK21" s="161"/>
      <c r="AL21" s="162"/>
      <c r="AM21" s="157" t="s">
        <v>120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20" t="s">
        <v>38</v>
      </c>
      <c r="D22" s="192"/>
      <c r="E22" s="192"/>
      <c r="F22" s="192"/>
      <c r="G22" s="192"/>
      <c r="H22" s="192"/>
      <c r="I22" s="192"/>
      <c r="J22" s="192"/>
      <c r="K22" s="192"/>
      <c r="L22" s="16"/>
      <c r="M22" s="221">
        <v>0</v>
      </c>
      <c r="N22" s="222"/>
      <c r="O22" s="223"/>
      <c r="P22" s="221">
        <v>0</v>
      </c>
      <c r="Q22" s="222"/>
      <c r="R22" s="223"/>
      <c r="S22" s="224">
        <f t="shared" si="0"/>
        <v>0</v>
      </c>
      <c r="T22" s="225"/>
      <c r="U22" s="226"/>
      <c r="V22" s="103"/>
      <c r="W22" s="181">
        <v>0.65</v>
      </c>
      <c r="X22" s="180"/>
      <c r="Y22" s="178">
        <v>0.67083333333333339</v>
      </c>
      <c r="Z22" s="179"/>
      <c r="AA22" s="161"/>
      <c r="AB22" s="180"/>
      <c r="AC22" s="161"/>
      <c r="AD22" s="180"/>
      <c r="AE22" s="185"/>
      <c r="AF22" s="186"/>
      <c r="AG22" s="185"/>
      <c r="AH22" s="186"/>
      <c r="AI22" s="161"/>
      <c r="AJ22" s="180"/>
      <c r="AK22" s="161">
        <v>2.0833333333333332E-2</v>
      </c>
      <c r="AL22" s="162"/>
      <c r="AM22" s="157" t="s">
        <v>121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20" t="s">
        <v>39</v>
      </c>
      <c r="D23" s="192"/>
      <c r="E23" s="192"/>
      <c r="F23" s="192"/>
      <c r="G23" s="192"/>
      <c r="H23" s="192"/>
      <c r="I23" s="192"/>
      <c r="J23" s="192"/>
      <c r="K23" s="192"/>
      <c r="L23" s="16"/>
      <c r="M23" s="221">
        <v>0</v>
      </c>
      <c r="N23" s="222"/>
      <c r="O23" s="223"/>
      <c r="P23" s="221">
        <v>0</v>
      </c>
      <c r="Q23" s="222"/>
      <c r="R23" s="223"/>
      <c r="S23" s="224">
        <f t="shared" si="0"/>
        <v>0</v>
      </c>
      <c r="T23" s="225"/>
      <c r="U23" s="226"/>
      <c r="V23" s="103"/>
      <c r="W23" s="181">
        <v>0.67083333333333339</v>
      </c>
      <c r="X23" s="180"/>
      <c r="Y23" s="161">
        <v>0.7416666666666667</v>
      </c>
      <c r="Z23" s="179"/>
      <c r="AA23" s="161"/>
      <c r="AB23" s="180"/>
      <c r="AC23" s="161">
        <v>5.347222222222222E-2</v>
      </c>
      <c r="AD23" s="180"/>
      <c r="AE23" s="161">
        <v>1.0416666666666666E-2</v>
      </c>
      <c r="AF23" s="180"/>
      <c r="AG23" s="185">
        <v>6.9444444444444441E-3</v>
      </c>
      <c r="AH23" s="186"/>
      <c r="AI23" s="161"/>
      <c r="AJ23" s="180"/>
      <c r="AK23" s="161"/>
      <c r="AL23" s="162"/>
      <c r="AM23" s="157" t="s">
        <v>122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5" t="s">
        <v>40</v>
      </c>
      <c r="D24" s="236"/>
      <c r="E24" s="236"/>
      <c r="F24" s="236"/>
      <c r="G24" s="236"/>
      <c r="H24" s="236"/>
      <c r="I24" s="236"/>
      <c r="J24" s="236"/>
      <c r="K24" s="236"/>
      <c r="L24" s="16"/>
      <c r="M24" s="221">
        <v>0</v>
      </c>
      <c r="N24" s="222"/>
      <c r="O24" s="223"/>
      <c r="P24" s="221">
        <v>0</v>
      </c>
      <c r="Q24" s="222"/>
      <c r="R24" s="223"/>
      <c r="S24" s="224">
        <v>0</v>
      </c>
      <c r="T24" s="225"/>
      <c r="U24" s="226"/>
      <c r="V24" s="103"/>
      <c r="W24" s="176">
        <v>0.7416666666666667</v>
      </c>
      <c r="X24" s="179"/>
      <c r="Y24" s="178">
        <v>0.82916666666666661</v>
      </c>
      <c r="Z24" s="179"/>
      <c r="AA24" s="161"/>
      <c r="AB24" s="180"/>
      <c r="AC24" s="161"/>
      <c r="AD24" s="180"/>
      <c r="AE24" s="183"/>
      <c r="AF24" s="184"/>
      <c r="AG24" s="161"/>
      <c r="AH24" s="180"/>
      <c r="AI24" s="187"/>
      <c r="AJ24" s="187"/>
      <c r="AK24" s="188">
        <v>8.7500000000000008E-2</v>
      </c>
      <c r="AL24" s="189"/>
      <c r="AM24" s="157" t="s">
        <v>123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7" t="s">
        <v>41</v>
      </c>
      <c r="D25" s="228"/>
      <c r="E25" s="228"/>
      <c r="F25" s="228"/>
      <c r="G25" s="228"/>
      <c r="H25" s="228"/>
      <c r="I25" s="228"/>
      <c r="J25" s="228"/>
      <c r="K25" s="228"/>
      <c r="L25" s="38"/>
      <c r="M25" s="229">
        <v>0</v>
      </c>
      <c r="N25" s="230"/>
      <c r="O25" s="231"/>
      <c r="P25" s="229">
        <v>0</v>
      </c>
      <c r="Q25" s="230"/>
      <c r="R25" s="231"/>
      <c r="S25" s="232">
        <f t="shared" si="0"/>
        <v>0</v>
      </c>
      <c r="T25" s="233"/>
      <c r="U25" s="234"/>
      <c r="V25" s="103"/>
      <c r="W25" s="176">
        <v>0.82916666666666661</v>
      </c>
      <c r="X25" s="177"/>
      <c r="Y25" s="178">
        <v>0.9375</v>
      </c>
      <c r="Z25" s="179"/>
      <c r="AA25" s="161"/>
      <c r="AB25" s="180"/>
      <c r="AC25" s="161">
        <v>9.1666666666666674E-2</v>
      </c>
      <c r="AD25" s="180"/>
      <c r="AE25" s="161">
        <v>1.0416666666666666E-2</v>
      </c>
      <c r="AF25" s="180"/>
      <c r="AG25" s="185">
        <v>6.2499999999999995E-3</v>
      </c>
      <c r="AH25" s="186"/>
      <c r="AI25" s="161"/>
      <c r="AJ25" s="180"/>
      <c r="AK25" s="161"/>
      <c r="AL25" s="162"/>
      <c r="AM25" s="157" t="s">
        <v>124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5" t="s">
        <v>43</v>
      </c>
      <c r="D26" s="216"/>
      <c r="E26" s="216"/>
      <c r="F26" s="216"/>
      <c r="G26" s="216"/>
      <c r="H26" s="216"/>
      <c r="I26" s="216"/>
      <c r="J26" s="216"/>
      <c r="K26" s="216"/>
      <c r="L26" s="217"/>
      <c r="M26" s="215" t="s">
        <v>34</v>
      </c>
      <c r="N26" s="216"/>
      <c r="O26" s="217"/>
      <c r="P26" s="215" t="s">
        <v>35</v>
      </c>
      <c r="Q26" s="216"/>
      <c r="R26" s="217"/>
      <c r="S26" s="246" t="s">
        <v>44</v>
      </c>
      <c r="T26" s="247"/>
      <c r="U26" s="248"/>
      <c r="V26" s="103"/>
      <c r="W26" s="176">
        <v>0.9375</v>
      </c>
      <c r="X26" s="179"/>
      <c r="Y26" s="177">
        <v>1</v>
      </c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>
        <v>6.25E-2</v>
      </c>
      <c r="AL26" s="162"/>
      <c r="AM26" s="157" t="s">
        <v>123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7" t="s">
        <v>45</v>
      </c>
      <c r="D27" s="238"/>
      <c r="E27" s="238"/>
      <c r="F27" s="238"/>
      <c r="G27" s="238"/>
      <c r="H27" s="238"/>
      <c r="I27" s="238"/>
      <c r="J27" s="238"/>
      <c r="K27" s="238"/>
      <c r="L27" s="239"/>
      <c r="M27" s="240">
        <v>0</v>
      </c>
      <c r="N27" s="241"/>
      <c r="O27" s="242"/>
      <c r="P27" s="240">
        <v>0</v>
      </c>
      <c r="Q27" s="241"/>
      <c r="R27" s="242"/>
      <c r="S27" s="243">
        <f t="shared" ref="S27:S32" si="1">M27+P27</f>
        <v>0</v>
      </c>
      <c r="T27" s="244"/>
      <c r="U27" s="245"/>
      <c r="V27" s="29"/>
      <c r="W27" s="176"/>
      <c r="X27" s="179"/>
      <c r="Y27" s="177"/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/>
      <c r="AL27" s="180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5" t="s">
        <v>46</v>
      </c>
      <c r="D28" s="236"/>
      <c r="E28" s="236"/>
      <c r="F28" s="236"/>
      <c r="G28" s="236"/>
      <c r="H28" s="236"/>
      <c r="I28" s="236"/>
      <c r="J28" s="236"/>
      <c r="K28" s="236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/>
      <c r="X28" s="177"/>
      <c r="Y28" s="178"/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6" t="s">
        <v>47</v>
      </c>
      <c r="E29" s="236"/>
      <c r="F29" s="236"/>
      <c r="G29" s="236"/>
      <c r="H29" s="236"/>
      <c r="I29" s="236"/>
      <c r="J29" s="236"/>
      <c r="K29" s="236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6" t="s">
        <v>48</v>
      </c>
      <c r="E30" s="236"/>
      <c r="F30" s="236"/>
      <c r="G30" s="236"/>
      <c r="H30" s="236"/>
      <c r="I30" s="236"/>
      <c r="J30" s="236"/>
      <c r="K30" s="236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6" t="s">
        <v>49</v>
      </c>
      <c r="E31" s="236"/>
      <c r="F31" s="236"/>
      <c r="G31" s="236"/>
      <c r="H31" s="236"/>
      <c r="I31" s="236"/>
      <c r="J31" s="236"/>
      <c r="K31" s="236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6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8" t="s">
        <v>50</v>
      </c>
      <c r="E32" s="228"/>
      <c r="F32" s="228"/>
      <c r="G32" s="228"/>
      <c r="H32" s="228"/>
      <c r="I32" s="228"/>
      <c r="J32" s="228"/>
      <c r="K32" s="228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0.46874999999999994</v>
      </c>
      <c r="AD32" s="258"/>
      <c r="AE32" s="281">
        <f>SUM(AE10:AF31)</f>
        <v>9.791666666666668E-2</v>
      </c>
      <c r="AF32" s="282"/>
      <c r="AG32" s="257">
        <f>SUM(AG10:AH31)</f>
        <v>4.9999999999999996E-2</v>
      </c>
      <c r="AH32" s="258"/>
      <c r="AI32" s="257">
        <f>SUM(AI10:AJ31)</f>
        <v>0</v>
      </c>
      <c r="AJ32" s="258"/>
      <c r="AK32" s="257">
        <f>SUM(AK10:AL31)</f>
        <v>0.38333333333333336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60" t="s">
        <v>53</v>
      </c>
      <c r="C35" s="216"/>
      <c r="D35" s="216"/>
      <c r="E35" s="216"/>
      <c r="F35" s="216"/>
      <c r="G35" s="216"/>
      <c r="H35" s="218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3"/>
      <c r="U35" s="173"/>
      <c r="V35" s="173"/>
      <c r="W35" s="173"/>
      <c r="X35" s="174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5" t="s">
        <v>60</v>
      </c>
      <c r="AH35" s="216"/>
      <c r="AI35" s="216"/>
      <c r="AJ35" s="217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21918</v>
      </c>
      <c r="Z36" s="294"/>
      <c r="AA36" s="294"/>
      <c r="AB36" s="53" t="s">
        <v>65</v>
      </c>
      <c r="AC36" s="295">
        <v>2044</v>
      </c>
      <c r="AD36" s="296"/>
      <c r="AE36" s="296"/>
      <c r="AF36" s="54" t="s">
        <v>65</v>
      </c>
      <c r="AG36" s="297">
        <v>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19874</v>
      </c>
      <c r="AP36" s="302"/>
      <c r="AQ36" s="53" t="s">
        <v>65</v>
      </c>
      <c r="AR36" s="303" t="s">
        <v>125</v>
      </c>
      <c r="AS36" s="304"/>
      <c r="AT36" s="304"/>
      <c r="AU36" s="304"/>
      <c r="AV36" s="305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9">
        <f>SUM(AC10:AD31)</f>
        <v>0.46874999999999994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1349.9999999999998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62</v>
      </c>
      <c r="Z37" s="327"/>
      <c r="AA37" s="327"/>
      <c r="AB37" s="59" t="s">
        <v>65</v>
      </c>
      <c r="AC37" s="328">
        <v>3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59</v>
      </c>
      <c r="AP37" s="333"/>
      <c r="AQ37" s="59" t="s">
        <v>65</v>
      </c>
      <c r="AR37" s="306"/>
      <c r="AS37" s="307"/>
      <c r="AT37" s="307"/>
      <c r="AU37" s="307"/>
      <c r="AV37" s="308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9">
        <f>SUM(AE10:AF31)</f>
        <v>9.791666666666668E-2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209.15000000000003</v>
      </c>
      <c r="P38" s="315"/>
      <c r="Q38" s="58" t="s">
        <v>65</v>
      </c>
      <c r="R38" s="47"/>
      <c r="S38" s="316" t="s">
        <v>70</v>
      </c>
      <c r="T38" s="236"/>
      <c r="U38" s="236"/>
      <c r="V38" s="236"/>
      <c r="W38" s="236"/>
      <c r="X38" s="249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9">
        <f>SUM(AG10:AH31)</f>
        <v>4.9999999999999996E-2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106.8</v>
      </c>
      <c r="P39" s="315"/>
      <c r="Q39" s="58" t="s">
        <v>65</v>
      </c>
      <c r="R39" s="47"/>
      <c r="S39" s="316" t="s">
        <v>72</v>
      </c>
      <c r="T39" s="236"/>
      <c r="U39" s="236"/>
      <c r="V39" s="236"/>
      <c r="W39" s="236"/>
      <c r="X39" s="249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6"/>
      <c r="U40" s="236"/>
      <c r="V40" s="236"/>
      <c r="W40" s="236"/>
      <c r="X40" s="249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9">
        <f>SUM(AK10:AL31)</f>
        <v>0.38333333333333336</v>
      </c>
      <c r="J41" s="310"/>
      <c r="K41" s="311"/>
      <c r="L41" s="312">
        <v>40</v>
      </c>
      <c r="M41" s="313"/>
      <c r="N41" s="57" t="s">
        <v>65</v>
      </c>
      <c r="O41" s="314">
        <f t="shared" si="2"/>
        <v>368.00000000000006</v>
      </c>
      <c r="P41" s="315"/>
      <c r="Q41" s="58" t="s">
        <v>65</v>
      </c>
      <c r="R41" s="52"/>
      <c r="S41" s="316" t="s">
        <v>77</v>
      </c>
      <c r="T41" s="236"/>
      <c r="U41" s="236"/>
      <c r="V41" s="236"/>
      <c r="W41" s="236"/>
      <c r="X41" s="249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6"/>
      <c r="U42" s="236"/>
      <c r="V42" s="236"/>
      <c r="W42" s="236"/>
      <c r="X42" s="249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8"/>
      <c r="U43" s="228"/>
      <c r="V43" s="228"/>
      <c r="W43" s="228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2033.9499999999998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10-19</vt:lpstr>
      <vt:lpstr>'10-19'!Print_Area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2019-10-10T14:09:32Z</cp:lastPrinted>
  <dcterms:created xsi:type="dcterms:W3CDTF">2017-04-30T16:06:17Z</dcterms:created>
  <dcterms:modified xsi:type="dcterms:W3CDTF">2019-10-10T14:14:44Z</dcterms:modified>
</cp:coreProperties>
</file>