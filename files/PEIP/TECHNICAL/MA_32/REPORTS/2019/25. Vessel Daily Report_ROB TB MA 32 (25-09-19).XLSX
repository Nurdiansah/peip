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8595" windowWidth="20055" windowHeight="2415"/>
  </bookViews>
  <sheets>
    <sheet name="25-19" sheetId="270" r:id="rId1"/>
  </sheets>
  <definedNames>
    <definedName name="_xlnm.Print_Area" localSheetId="0">'25-19'!$A$1:$AW$56</definedName>
  </definedNames>
  <calcPr calcId="144525"/>
</workbook>
</file>

<file path=xl/calcChain.xml><?xml version="1.0" encoding="utf-8"?>
<calcChain xmlns="http://schemas.openxmlformats.org/spreadsheetml/2006/main">
  <c r="AO43" i="270" l="1"/>
  <c r="AO42" i="270"/>
  <c r="AO41" i="270"/>
  <c r="I41" i="270"/>
  <c r="O41" i="270" s="1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AO36" i="270"/>
  <c r="I36" i="270"/>
  <c r="O36" i="270" s="1"/>
  <c r="AK32" i="270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I44" i="270" l="1"/>
  <c r="O37" i="270"/>
  <c r="O44" i="270" s="1"/>
</calcChain>
</file>

<file path=xl/sharedStrings.xml><?xml version="1.0" encoding="utf-8"?>
<sst xmlns="http://schemas.openxmlformats.org/spreadsheetml/2006/main" count="189" uniqueCount="128">
  <si>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</si>
  <si>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</si>
  <si>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</si>
  <si>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</si>
  <si>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</si>
  <si>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</si>
  <si>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</si>
  <si>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</si>
  <si>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</si>
  <si>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</si>
  <si>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</si>
  <si>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</si>
  <si>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</si>
  <si>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</si>
  <si>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</si>
  <si>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</si>
  <si>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</si>
  <si>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</si>
  <si>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</si>
  <si>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</si>
  <si>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</si>
  <si>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</si>
  <si>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</si>
  <si>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</si>
  <si>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</si>
  <si>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</si>
  <si>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</si>
  <si>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</si>
  <si>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</si>
  <si>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</si>
  <si>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</si>
  <si>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</si>
  <si>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</si>
  <si>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</si>
  <si>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</si>
  <si>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</si>
  <si>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</si>
  <si>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</si>
  <si>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</si>
  <si>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</si>
  <si>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</si>
  <si>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</si>
  <si>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</si>
  <si>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</si>
  <si>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</si>
  <si>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</si>
  <si>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</si>
  <si>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</si>
  <si>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</si>
  <si>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</si>
  <si>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</si>
  <si>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</si>
  <si>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</si>
  <si>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</si>
  <si>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</si>
  <si>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</si>
  <si>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</si>
  <si>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</si>
  <si>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</si>
  <si>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</si>
  <si>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</si>
  <si>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</si>
  <si>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</si>
  <si>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</si>
  <si>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</si>
  <si>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</si>
  <si>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</si>
  <si>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</si>
  <si>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</si>
  <si>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</si>
  <si>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</si>
  <si>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</si>
  <si>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</si>
  <si>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</si>
  <si>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</si>
  <si>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</si>
  <si>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</si>
  <si>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</si>
  <si>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</si>
  <si>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</si>
  <si>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</si>
  <si>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</si>
  <si>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</si>
  <si>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</si>
  <si>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</si>
  <si>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</si>
  <si>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</si>
  <si>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</si>
  <si>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</si>
  <si>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</si>
  <si>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</si>
  <si>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</si>
  <si>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</si>
  <si>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</si>
  <si>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</si>
  <si>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</si>
  <si>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</si>
  <si>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</si>
  <si>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</si>
  <si>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</si>
  <si>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</si>
  <si>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</si>
  <si>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</si>
  <si>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</si>
  <si>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</si>
  <si>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</si>
  <si>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</si>
  <si>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Stby  at mooring line by megawati 5</t>
  </si>
  <si>
    <t>cast off discinnect from mooring line. To 114</t>
  </si>
  <si>
    <t>Moderate / 1.0-1.5 m</t>
  </si>
  <si>
    <t>E 8- 10 Knot</t>
  </si>
  <si>
    <t>E 07-10 Knot</t>
  </si>
  <si>
    <t>E 10-14 Knot</t>
  </si>
  <si>
    <t>25 September ,2019</t>
  </si>
  <si>
    <t>sbe, steel mooring lineby megawati 5/stop[ enggine</t>
  </si>
  <si>
    <t>pic up cargo, n 6 personil to pabelokan</t>
  </si>
  <si>
    <t>go to pabelokan port</t>
  </si>
  <si>
    <t>a/s at pabelokan port</t>
  </si>
  <si>
    <t>drop n pic up cargo from pabelokan port</t>
  </si>
  <si>
    <t>shifting to jetty fuel dock, pabelokan port/stop enggine</t>
  </si>
  <si>
    <t>stby, at jetty bunker fw 46 t</t>
  </si>
  <si>
    <t>cast off from pabelokan to 114</t>
  </si>
  <si>
    <t>cancel, back to pabelokan port,pic up dokumen bunker fw</t>
  </si>
  <si>
    <t>cast  from pabeloka port go to 114 ship</t>
  </si>
  <si>
    <t>eta at 114. drop material n 2 personil to 114</t>
  </si>
  <si>
    <t>a/s at mooring line by megawati 5,stop enggine</t>
  </si>
  <si>
    <t xml:space="preserve">          to chief officer (crew cheing)</t>
  </si>
  <si>
    <t xml:space="preserve">10:30 pic up crew ma 32/ 1 person, for hand 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</si>
</sst>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zoomScale="71" zoomScaleNormal="90" zoomScaleSheetLayoutView="71" workbookViewId="0">
      <selection activeCell="AM45" sqref="AM4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1" t="s">
        <v>113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 x14ac:dyDescent="0.2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11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0.17083333333333331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0.17083333333333331</v>
      </c>
      <c r="AL10" s="139"/>
      <c r="AM10" s="157" t="s">
        <v>106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0.17083333333333331</v>
      </c>
      <c r="X11" s="182"/>
      <c r="Y11" s="161">
        <v>0.24166666666666667</v>
      </c>
      <c r="Z11" s="180"/>
      <c r="AA11" s="161"/>
      <c r="AB11" s="180"/>
      <c r="AC11" s="185"/>
      <c r="AD11" s="186"/>
      <c r="AE11" s="185"/>
      <c r="AF11" s="186"/>
      <c r="AG11" s="185">
        <v>7.0833333333333331E-2</v>
      </c>
      <c r="AH11" s="186"/>
      <c r="AI11" s="161"/>
      <c r="AJ11" s="180"/>
      <c r="AK11" s="161"/>
      <c r="AL11" s="162"/>
      <c r="AM11" s="157" t="s">
        <v>114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0.24166666666666667</v>
      </c>
      <c r="X12" s="182"/>
      <c r="Y12" s="178">
        <v>0.3125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7.0833333333333331E-2</v>
      </c>
      <c r="AL12" s="162"/>
      <c r="AM12" s="190" t="s">
        <v>107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 x14ac:dyDescent="0.25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0.3125</v>
      </c>
      <c r="X13" s="177"/>
      <c r="Y13" s="178">
        <v>0.31666666666666665</v>
      </c>
      <c r="Z13" s="179"/>
      <c r="AA13" s="161"/>
      <c r="AB13" s="180"/>
      <c r="AC13" s="185">
        <v>4.1666666666666666E-3</v>
      </c>
      <c r="AD13" s="186"/>
      <c r="AE13" s="161"/>
      <c r="AF13" s="180"/>
      <c r="AG13" s="161"/>
      <c r="AH13" s="180"/>
      <c r="AI13" s="187"/>
      <c r="AJ13" s="187"/>
      <c r="AK13" s="188"/>
      <c r="AL13" s="189"/>
      <c r="AM13" s="157" t="s">
        <v>108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111</v>
      </c>
      <c r="K14" s="200"/>
      <c r="L14" s="200"/>
      <c r="M14" s="201"/>
      <c r="N14" s="199" t="s">
        <v>112</v>
      </c>
      <c r="O14" s="200"/>
      <c r="P14" s="200"/>
      <c r="Q14" s="201"/>
      <c r="R14" s="202" t="s">
        <v>110</v>
      </c>
      <c r="S14" s="200"/>
      <c r="T14" s="200"/>
      <c r="U14" s="201"/>
      <c r="V14" s="99"/>
      <c r="W14" s="176">
        <v>0.31666666666666665</v>
      </c>
      <c r="X14" s="177"/>
      <c r="Y14" s="178">
        <v>0.33749999999999997</v>
      </c>
      <c r="Z14" s="179"/>
      <c r="AA14" s="161"/>
      <c r="AB14" s="180"/>
      <c r="AC14" s="161"/>
      <c r="AD14" s="180"/>
      <c r="AE14" s="183"/>
      <c r="AF14" s="184"/>
      <c r="AG14" s="183">
        <v>2.0833333333333332E-2</v>
      </c>
      <c r="AH14" s="184"/>
      <c r="AI14" s="161"/>
      <c r="AJ14" s="180"/>
      <c r="AK14" s="161"/>
      <c r="AL14" s="162"/>
      <c r="AM14" s="157" t="s">
        <v>115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 x14ac:dyDescent="0.2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109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0.33749999999999997</v>
      </c>
      <c r="X15" s="177"/>
      <c r="Y15" s="178">
        <v>0.39583333333333331</v>
      </c>
      <c r="Z15" s="179"/>
      <c r="AA15" s="161"/>
      <c r="AB15" s="180"/>
      <c r="AC15" s="161">
        <v>5.8333333333333327E-2</v>
      </c>
      <c r="AD15" s="180"/>
      <c r="AE15" s="161"/>
      <c r="AF15" s="180"/>
      <c r="AG15" s="161"/>
      <c r="AH15" s="180"/>
      <c r="AI15" s="161"/>
      <c r="AJ15" s="180"/>
      <c r="AK15" s="161"/>
      <c r="AL15" s="162"/>
      <c r="AM15" s="157" t="s">
        <v>116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0.39583333333333331</v>
      </c>
      <c r="X16" s="179"/>
      <c r="Y16" s="178">
        <v>0.40972222222222227</v>
      </c>
      <c r="Z16" s="179"/>
      <c r="AA16" s="161"/>
      <c r="AB16" s="180"/>
      <c r="AC16" s="161"/>
      <c r="AD16" s="180"/>
      <c r="AE16" s="161"/>
      <c r="AF16" s="180"/>
      <c r="AG16" s="161">
        <v>1.3888888888888888E-2</v>
      </c>
      <c r="AH16" s="180"/>
      <c r="AI16" s="161"/>
      <c r="AJ16" s="180"/>
      <c r="AK16" s="161"/>
      <c r="AL16" s="162"/>
      <c r="AM16" s="157" t="s">
        <v>117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0.40972222222222227</v>
      </c>
      <c r="X17" s="179"/>
      <c r="Y17" s="178">
        <v>0.4513888888888889</v>
      </c>
      <c r="Z17" s="179"/>
      <c r="AA17" s="161"/>
      <c r="AB17" s="180"/>
      <c r="AC17" s="185"/>
      <c r="AD17" s="186"/>
      <c r="AE17" s="185"/>
      <c r="AF17" s="186"/>
      <c r="AG17" s="185">
        <v>4.1666666666666664E-2</v>
      </c>
      <c r="AH17" s="186"/>
      <c r="AI17" s="161"/>
      <c r="AJ17" s="180"/>
      <c r="AK17" s="161"/>
      <c r="AL17" s="162"/>
      <c r="AM17" s="157" t="s">
        <v>118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0.4513888888888889</v>
      </c>
      <c r="X18" s="179"/>
      <c r="Y18" s="178">
        <v>0.54583333333333328</v>
      </c>
      <c r="Z18" s="179"/>
      <c r="AA18" s="161"/>
      <c r="AB18" s="180"/>
      <c r="AC18" s="161"/>
      <c r="AD18" s="180"/>
      <c r="AE18" s="185">
        <v>9.4444444444444442E-2</v>
      </c>
      <c r="AF18" s="186"/>
      <c r="AG18" s="185"/>
      <c r="AH18" s="186"/>
      <c r="AI18" s="161"/>
      <c r="AJ18" s="180"/>
      <c r="AK18" s="161"/>
      <c r="AL18" s="162"/>
      <c r="AM18" s="157" t="s">
        <v>119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 x14ac:dyDescent="0.25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0.54583333333333328</v>
      </c>
      <c r="X19" s="179"/>
      <c r="Y19" s="178">
        <v>0.69166666666666676</v>
      </c>
      <c r="Z19" s="179"/>
      <c r="AA19" s="161"/>
      <c r="AB19" s="180"/>
      <c r="AC19" s="183"/>
      <c r="AD19" s="184"/>
      <c r="AE19" s="161"/>
      <c r="AF19" s="180"/>
      <c r="AG19" s="161"/>
      <c r="AH19" s="180"/>
      <c r="AI19" s="161"/>
      <c r="AJ19" s="180"/>
      <c r="AK19" s="161">
        <v>0.14583333333333334</v>
      </c>
      <c r="AL19" s="162"/>
      <c r="AM19" s="157" t="s">
        <v>120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 x14ac:dyDescent="0.2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0.69166666666666676</v>
      </c>
      <c r="X20" s="179"/>
      <c r="Y20" s="161">
        <v>0.70486111111111116</v>
      </c>
      <c r="Z20" s="180"/>
      <c r="AA20" s="185"/>
      <c r="AB20" s="186"/>
      <c r="AC20" s="161">
        <v>1.3194444444444444E-2</v>
      </c>
      <c r="AD20" s="180"/>
      <c r="AE20" s="185"/>
      <c r="AF20" s="186"/>
      <c r="AG20" s="185"/>
      <c r="AH20" s="186"/>
      <c r="AI20" s="185"/>
      <c r="AJ20" s="186"/>
      <c r="AK20" s="185"/>
      <c r="AL20" s="219"/>
      <c r="AM20" s="157" t="s">
        <v>121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 x14ac:dyDescent="0.2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0.70486111111111116</v>
      </c>
      <c r="X21" s="180"/>
      <c r="Y21" s="178">
        <v>0.72916666666666663</v>
      </c>
      <c r="Z21" s="179"/>
      <c r="AA21" s="161"/>
      <c r="AB21" s="180"/>
      <c r="AC21" s="161">
        <v>2.4305555555555556E-2</v>
      </c>
      <c r="AD21" s="180"/>
      <c r="AE21" s="185"/>
      <c r="AF21" s="186"/>
      <c r="AG21" s="185"/>
      <c r="AH21" s="186"/>
      <c r="AI21" s="161"/>
      <c r="AJ21" s="180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 x14ac:dyDescent="0.2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0.72916666666666663</v>
      </c>
      <c r="X22" s="180"/>
      <c r="Y22" s="178">
        <v>0.78472222222222221</v>
      </c>
      <c r="Z22" s="179"/>
      <c r="AA22" s="161"/>
      <c r="AB22" s="180"/>
      <c r="AC22" s="161">
        <v>5.5555555555555552E-2</v>
      </c>
      <c r="AD22" s="180"/>
      <c r="AE22" s="185"/>
      <c r="AF22" s="186"/>
      <c r="AG22" s="185"/>
      <c r="AH22" s="186"/>
      <c r="AI22" s="161"/>
      <c r="AJ22" s="180"/>
      <c r="AK22" s="161"/>
      <c r="AL22" s="162"/>
      <c r="AM22" s="157" t="s">
        <v>123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 x14ac:dyDescent="0.2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0.78472222222222221</v>
      </c>
      <c r="X23" s="180"/>
      <c r="Y23" s="178">
        <v>0.81944444444444453</v>
      </c>
      <c r="Z23" s="179"/>
      <c r="AA23" s="161"/>
      <c r="AB23" s="180"/>
      <c r="AC23" s="161"/>
      <c r="AD23" s="180"/>
      <c r="AE23" s="161"/>
      <c r="AF23" s="180"/>
      <c r="AG23" s="185">
        <v>3.4722222222222224E-2</v>
      </c>
      <c r="AH23" s="186"/>
      <c r="AI23" s="161"/>
      <c r="AJ23" s="180"/>
      <c r="AK23" s="161"/>
      <c r="AL23" s="162"/>
      <c r="AM23" s="157" t="s">
        <v>124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 x14ac:dyDescent="0.2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0.81944444444444453</v>
      </c>
      <c r="X24" s="179"/>
      <c r="Y24" s="178">
        <v>0.85833333333333339</v>
      </c>
      <c r="Z24" s="179"/>
      <c r="AA24" s="161"/>
      <c r="AB24" s="180"/>
      <c r="AC24" s="161">
        <v>3.888888888888889E-2</v>
      </c>
      <c r="AD24" s="180"/>
      <c r="AE24" s="183"/>
      <c r="AF24" s="184"/>
      <c r="AG24" s="161"/>
      <c r="AH24" s="180"/>
      <c r="AI24" s="187"/>
      <c r="AJ24" s="187"/>
      <c r="AK24" s="188"/>
      <c r="AL24" s="189"/>
      <c r="AM24" s="157" t="s">
        <v>125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 x14ac:dyDescent="0.25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0.85833333333333339</v>
      </c>
      <c r="X25" s="177"/>
      <c r="Y25" s="178">
        <v>1</v>
      </c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>
        <v>0.14166666666666666</v>
      </c>
      <c r="AL25" s="162"/>
      <c r="AM25" s="190"/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 x14ac:dyDescent="0.25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/>
      <c r="X26" s="179"/>
      <c r="Y26" s="177"/>
      <c r="Z26" s="177"/>
      <c r="AA26" s="161"/>
      <c r="AB26" s="180"/>
      <c r="AC26" s="161"/>
      <c r="AD26" s="180"/>
      <c r="AE26" s="183"/>
      <c r="AF26" s="184"/>
      <c r="AG26" s="161"/>
      <c r="AH26" s="180"/>
      <c r="AI26" s="161"/>
      <c r="AJ26" s="180"/>
      <c r="AK26" s="161"/>
      <c r="AL26" s="162"/>
      <c r="AM26" s="190"/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 x14ac:dyDescent="0.2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/>
      <c r="X27" s="179"/>
      <c r="Y27" s="177"/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/>
      <c r="AL27" s="180"/>
      <c r="AM27" s="190"/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 x14ac:dyDescent="0.2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/>
      <c r="X28" s="177"/>
      <c r="Y28" s="178"/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/>
      <c r="AL28" s="162"/>
      <c r="AM28" s="190"/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 x14ac:dyDescent="0.2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90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 x14ac:dyDescent="0.2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90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 x14ac:dyDescent="0.2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190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 x14ac:dyDescent="0.25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0"/>
      <c r="M32" s="271">
        <v>0</v>
      </c>
      <c r="N32" s="272"/>
      <c r="O32" s="273"/>
      <c r="P32" s="271">
        <v>0</v>
      </c>
      <c r="Q32" s="272"/>
      <c r="R32" s="273"/>
      <c r="S32" s="274">
        <f t="shared" si="1"/>
        <v>0</v>
      </c>
      <c r="T32" s="275"/>
      <c r="U32" s="276"/>
      <c r="V32" s="30"/>
      <c r="W32" s="277" t="s">
        <v>87</v>
      </c>
      <c r="X32" s="278"/>
      <c r="Y32" s="278"/>
      <c r="Z32" s="279"/>
      <c r="AA32" s="280">
        <f>SUM(AA10:AB31)</f>
        <v>0</v>
      </c>
      <c r="AB32" s="281"/>
      <c r="AC32" s="256">
        <f>SUM(AC10:AD31)</f>
        <v>0.19444444444444445</v>
      </c>
      <c r="AD32" s="257"/>
      <c r="AE32" s="280">
        <f>SUM(AE10:AF31)</f>
        <v>9.4444444444444442E-2</v>
      </c>
      <c r="AF32" s="281"/>
      <c r="AG32" s="256">
        <f>SUM(AG10:AH31)</f>
        <v>0.18194444444444441</v>
      </c>
      <c r="AH32" s="257"/>
      <c r="AI32" s="256">
        <f>SUM(AI10:AJ31)</f>
        <v>0</v>
      </c>
      <c r="AJ32" s="257"/>
      <c r="AK32" s="256">
        <f>SUM(AK10:AL31)</f>
        <v>0.52916666666666656</v>
      </c>
      <c r="AL32" s="258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59" t="s">
        <v>53</v>
      </c>
      <c r="C35" s="216"/>
      <c r="D35" s="216"/>
      <c r="E35" s="216"/>
      <c r="F35" s="216"/>
      <c r="G35" s="216"/>
      <c r="H35" s="218"/>
      <c r="I35" s="260" t="s">
        <v>54</v>
      </c>
      <c r="J35" s="261"/>
      <c r="K35" s="262"/>
      <c r="L35" s="260" t="s">
        <v>55</v>
      </c>
      <c r="M35" s="261"/>
      <c r="N35" s="262"/>
      <c r="O35" s="260" t="s">
        <v>56</v>
      </c>
      <c r="P35" s="261"/>
      <c r="Q35" s="262"/>
      <c r="R35" s="47"/>
      <c r="S35" s="263" t="s">
        <v>57</v>
      </c>
      <c r="T35" s="173"/>
      <c r="U35" s="173"/>
      <c r="V35" s="173"/>
      <c r="W35" s="173"/>
      <c r="X35" s="174"/>
      <c r="Y35" s="264" t="s">
        <v>58</v>
      </c>
      <c r="Z35" s="265"/>
      <c r="AA35" s="265"/>
      <c r="AB35" s="266"/>
      <c r="AC35" s="267" t="s">
        <v>59</v>
      </c>
      <c r="AD35" s="268"/>
      <c r="AE35" s="268"/>
      <c r="AF35" s="269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2">
        <f>SUM(AA10:AB31)</f>
        <v>0</v>
      </c>
      <c r="J36" s="283"/>
      <c r="K36" s="284"/>
      <c r="L36" s="285">
        <v>0</v>
      </c>
      <c r="M36" s="286"/>
      <c r="N36" s="50" t="s">
        <v>65</v>
      </c>
      <c r="O36" s="287">
        <f t="shared" ref="O36:O41" si="2">(I36*24)*L36</f>
        <v>0</v>
      </c>
      <c r="P36" s="288"/>
      <c r="Q36" s="51" t="s">
        <v>65</v>
      </c>
      <c r="R36" s="52"/>
      <c r="S36" s="289" t="s">
        <v>66</v>
      </c>
      <c r="T36" s="290"/>
      <c r="U36" s="290"/>
      <c r="V36" s="290"/>
      <c r="W36" s="290"/>
      <c r="X36" s="291"/>
      <c r="Y36" s="292">
        <v>30580</v>
      </c>
      <c r="Z36" s="293"/>
      <c r="AA36" s="293"/>
      <c r="AB36" s="53" t="s">
        <v>65</v>
      </c>
      <c r="AC36" s="294">
        <v>1252</v>
      </c>
      <c r="AD36" s="295"/>
      <c r="AE36" s="295"/>
      <c r="AF36" s="54" t="s">
        <v>65</v>
      </c>
      <c r="AG36" s="296">
        <v>0</v>
      </c>
      <c r="AH36" s="297"/>
      <c r="AI36" s="297"/>
      <c r="AJ36" s="53" t="s">
        <v>65</v>
      </c>
      <c r="AK36" s="298">
        <v>0</v>
      </c>
      <c r="AL36" s="299"/>
      <c r="AM36" s="299"/>
      <c r="AN36" s="53" t="s">
        <v>65</v>
      </c>
      <c r="AO36" s="300">
        <f>(Y36+AG36)-(AC36+AK36)</f>
        <v>29328</v>
      </c>
      <c r="AP36" s="301"/>
      <c r="AQ36" s="53" t="s">
        <v>65</v>
      </c>
      <c r="AR36" s="302" t="s">
        <v>127</v>
      </c>
      <c r="AS36" s="303"/>
      <c r="AT36" s="303"/>
      <c r="AU36" s="303"/>
      <c r="AV36" s="304"/>
    </row>
    <row r="37" spans="1:48" ht="15.75" customHeight="1" x14ac:dyDescent="0.2">
      <c r="A37" s="4"/>
      <c r="B37" s="108" t="s">
        <v>67</v>
      </c>
      <c r="C37" s="55"/>
      <c r="D37" s="55"/>
      <c r="E37" s="55"/>
      <c r="F37" s="55"/>
      <c r="G37" s="55"/>
      <c r="H37" s="56"/>
      <c r="I37" s="308">
        <f>SUM(AC10:AD31)</f>
        <v>0.19444444444444445</v>
      </c>
      <c r="J37" s="309"/>
      <c r="K37" s="310"/>
      <c r="L37" s="311">
        <v>120</v>
      </c>
      <c r="M37" s="312"/>
      <c r="N37" s="57" t="s">
        <v>65</v>
      </c>
      <c r="O37" s="313">
        <f t="shared" si="2"/>
        <v>560</v>
      </c>
      <c r="P37" s="314"/>
      <c r="Q37" s="58" t="s">
        <v>65</v>
      </c>
      <c r="R37" s="47"/>
      <c r="S37" s="322" t="s">
        <v>68</v>
      </c>
      <c r="T37" s="323"/>
      <c r="U37" s="323"/>
      <c r="V37" s="323"/>
      <c r="W37" s="323"/>
      <c r="X37" s="324"/>
      <c r="Y37" s="325">
        <v>19</v>
      </c>
      <c r="Z37" s="326"/>
      <c r="AA37" s="326"/>
      <c r="AB37" s="59" t="s">
        <v>65</v>
      </c>
      <c r="AC37" s="327">
        <v>4</v>
      </c>
      <c r="AD37" s="328"/>
      <c r="AE37" s="328"/>
      <c r="AF37" s="60" t="s">
        <v>65</v>
      </c>
      <c r="AG37" s="329">
        <v>47</v>
      </c>
      <c r="AH37" s="330"/>
      <c r="AI37" s="330"/>
      <c r="AJ37" s="59" t="s">
        <v>65</v>
      </c>
      <c r="AK37" s="318">
        <v>0</v>
      </c>
      <c r="AL37" s="319"/>
      <c r="AM37" s="319"/>
      <c r="AN37" s="59" t="s">
        <v>65</v>
      </c>
      <c r="AO37" s="331">
        <f>(Y37+AG37)-(AC37+AK37)</f>
        <v>62</v>
      </c>
      <c r="AP37" s="332"/>
      <c r="AQ37" s="59" t="s">
        <v>65</v>
      </c>
      <c r="AR37" s="305" t="s">
        <v>126</v>
      </c>
      <c r="AS37" s="306"/>
      <c r="AT37" s="306"/>
      <c r="AU37" s="306"/>
      <c r="AV37" s="307"/>
    </row>
    <row r="38" spans="1:48" ht="15.75" customHeight="1" x14ac:dyDescent="0.2">
      <c r="A38" s="4"/>
      <c r="B38" s="108" t="s">
        <v>69</v>
      </c>
      <c r="C38" s="55"/>
      <c r="D38" s="55"/>
      <c r="E38" s="55"/>
      <c r="F38" s="55"/>
      <c r="G38" s="55"/>
      <c r="H38" s="56"/>
      <c r="I38" s="308">
        <f>SUM(AE10:AF31)</f>
        <v>9.4444444444444442E-2</v>
      </c>
      <c r="J38" s="309"/>
      <c r="K38" s="310"/>
      <c r="L38" s="311">
        <v>89</v>
      </c>
      <c r="M38" s="312"/>
      <c r="N38" s="57" t="s">
        <v>65</v>
      </c>
      <c r="O38" s="313">
        <f t="shared" si="2"/>
        <v>201.73333333333332</v>
      </c>
      <c r="P38" s="314"/>
      <c r="Q38" s="58" t="s">
        <v>65</v>
      </c>
      <c r="R38" s="47"/>
      <c r="S38" s="315" t="s">
        <v>70</v>
      </c>
      <c r="T38" s="236"/>
      <c r="U38" s="236"/>
      <c r="V38" s="236"/>
      <c r="W38" s="236"/>
      <c r="X38" s="249"/>
      <c r="Y38" s="316">
        <v>0</v>
      </c>
      <c r="Z38" s="317"/>
      <c r="AA38" s="317"/>
      <c r="AB38" s="59" t="s">
        <v>65</v>
      </c>
      <c r="AC38" s="61"/>
      <c r="AD38" s="62"/>
      <c r="AE38" s="62"/>
      <c r="AF38" s="63"/>
      <c r="AG38" s="318">
        <v>0</v>
      </c>
      <c r="AH38" s="319"/>
      <c r="AI38" s="319"/>
      <c r="AJ38" s="59" t="s">
        <v>65</v>
      </c>
      <c r="AK38" s="318">
        <v>0</v>
      </c>
      <c r="AL38" s="319"/>
      <c r="AM38" s="319"/>
      <c r="AN38" s="59" t="s">
        <v>65</v>
      </c>
      <c r="AO38" s="320">
        <f t="shared" ref="AO38:AO43" si="3">(Y38+AG38)-(AC38+AK38)</f>
        <v>0</v>
      </c>
      <c r="AP38" s="321"/>
      <c r="AQ38" s="59" t="s">
        <v>65</v>
      </c>
      <c r="AR38" s="305"/>
      <c r="AS38" s="306"/>
      <c r="AT38" s="306"/>
      <c r="AU38" s="306"/>
      <c r="AV38" s="307"/>
    </row>
    <row r="39" spans="1:48" ht="15.75" customHeight="1" x14ac:dyDescent="0.2">
      <c r="A39" s="4"/>
      <c r="B39" s="108" t="s">
        <v>71</v>
      </c>
      <c r="C39" s="55"/>
      <c r="D39" s="55"/>
      <c r="E39" s="55"/>
      <c r="F39" s="55"/>
      <c r="G39" s="55"/>
      <c r="H39" s="56"/>
      <c r="I39" s="308">
        <f>SUM(AG10:AH31)</f>
        <v>0.18194444444444441</v>
      </c>
      <c r="J39" s="309"/>
      <c r="K39" s="310"/>
      <c r="L39" s="311">
        <v>89</v>
      </c>
      <c r="M39" s="312"/>
      <c r="N39" s="57" t="s">
        <v>65</v>
      </c>
      <c r="O39" s="313">
        <f t="shared" si="2"/>
        <v>388.63333333333321</v>
      </c>
      <c r="P39" s="314"/>
      <c r="Q39" s="58" t="s">
        <v>65</v>
      </c>
      <c r="R39" s="47"/>
      <c r="S39" s="315" t="s">
        <v>72</v>
      </c>
      <c r="T39" s="236"/>
      <c r="U39" s="236"/>
      <c r="V39" s="236"/>
      <c r="W39" s="236"/>
      <c r="X39" s="249"/>
      <c r="Y39" s="316">
        <v>0</v>
      </c>
      <c r="Z39" s="317"/>
      <c r="AA39" s="317"/>
      <c r="AB39" s="60" t="s">
        <v>73</v>
      </c>
      <c r="AC39" s="61"/>
      <c r="AD39" s="62"/>
      <c r="AE39" s="62"/>
      <c r="AF39" s="64"/>
      <c r="AG39" s="318">
        <v>0</v>
      </c>
      <c r="AH39" s="319"/>
      <c r="AI39" s="319"/>
      <c r="AJ39" s="60" t="s">
        <v>73</v>
      </c>
      <c r="AK39" s="318">
        <v>0</v>
      </c>
      <c r="AL39" s="319"/>
      <c r="AM39" s="319"/>
      <c r="AN39" s="60" t="s">
        <v>73</v>
      </c>
      <c r="AO39" s="320">
        <f t="shared" si="3"/>
        <v>0</v>
      </c>
      <c r="AP39" s="321"/>
      <c r="AQ39" s="60" t="s">
        <v>73</v>
      </c>
      <c r="AR39" s="305"/>
      <c r="AS39" s="306"/>
      <c r="AT39" s="306"/>
      <c r="AU39" s="306"/>
      <c r="AV39" s="307"/>
    </row>
    <row r="40" spans="1:48" ht="15.75" customHeight="1" x14ac:dyDescent="0.2">
      <c r="A40" s="4"/>
      <c r="B40" s="108" t="s">
        <v>74</v>
      </c>
      <c r="C40" s="55"/>
      <c r="D40" s="55"/>
      <c r="E40" s="55"/>
      <c r="F40" s="55"/>
      <c r="G40" s="55"/>
      <c r="H40" s="56"/>
      <c r="I40" s="308">
        <f>SUM(AI10:AJ31)</f>
        <v>0</v>
      </c>
      <c r="J40" s="309"/>
      <c r="K40" s="310"/>
      <c r="L40" s="311">
        <v>0</v>
      </c>
      <c r="M40" s="312"/>
      <c r="N40" s="57" t="s">
        <v>65</v>
      </c>
      <c r="O40" s="313">
        <f t="shared" si="2"/>
        <v>0</v>
      </c>
      <c r="P40" s="314"/>
      <c r="Q40" s="58" t="s">
        <v>65</v>
      </c>
      <c r="R40" s="52"/>
      <c r="S40" s="315" t="s">
        <v>75</v>
      </c>
      <c r="T40" s="236"/>
      <c r="U40" s="236"/>
      <c r="V40" s="236"/>
      <c r="W40" s="236"/>
      <c r="X40" s="249"/>
      <c r="Y40" s="316">
        <v>0</v>
      </c>
      <c r="Z40" s="317"/>
      <c r="AA40" s="317"/>
      <c r="AB40" s="60" t="s">
        <v>73</v>
      </c>
      <c r="AC40" s="61"/>
      <c r="AD40" s="62"/>
      <c r="AE40" s="62"/>
      <c r="AF40" s="64"/>
      <c r="AG40" s="318">
        <v>0</v>
      </c>
      <c r="AH40" s="319"/>
      <c r="AI40" s="319"/>
      <c r="AJ40" s="60" t="s">
        <v>73</v>
      </c>
      <c r="AK40" s="318">
        <v>0</v>
      </c>
      <c r="AL40" s="319"/>
      <c r="AM40" s="319"/>
      <c r="AN40" s="60" t="s">
        <v>73</v>
      </c>
      <c r="AO40" s="320">
        <f t="shared" si="3"/>
        <v>0</v>
      </c>
      <c r="AP40" s="321"/>
      <c r="AQ40" s="60" t="s">
        <v>73</v>
      </c>
      <c r="AR40" s="305"/>
      <c r="AS40" s="306"/>
      <c r="AT40" s="306"/>
      <c r="AU40" s="306"/>
      <c r="AV40" s="307"/>
    </row>
    <row r="41" spans="1:48" ht="15.75" customHeight="1" x14ac:dyDescent="0.2">
      <c r="A41" s="4"/>
      <c r="B41" s="108" t="s">
        <v>76</v>
      </c>
      <c r="C41" s="55"/>
      <c r="D41" s="55"/>
      <c r="E41" s="55"/>
      <c r="F41" s="55"/>
      <c r="G41" s="55"/>
      <c r="H41" s="56"/>
      <c r="I41" s="308">
        <f>SUM(AK10:AL31)</f>
        <v>0.52916666666666656</v>
      </c>
      <c r="J41" s="309"/>
      <c r="K41" s="310"/>
      <c r="L41" s="311">
        <v>8</v>
      </c>
      <c r="M41" s="312"/>
      <c r="N41" s="57" t="s">
        <v>65</v>
      </c>
      <c r="O41" s="313">
        <f t="shared" si="2"/>
        <v>101.59999999999998</v>
      </c>
      <c r="P41" s="314"/>
      <c r="Q41" s="58" t="s">
        <v>65</v>
      </c>
      <c r="R41" s="52"/>
      <c r="S41" s="315" t="s">
        <v>77</v>
      </c>
      <c r="T41" s="236"/>
      <c r="U41" s="236"/>
      <c r="V41" s="236"/>
      <c r="W41" s="236"/>
      <c r="X41" s="249"/>
      <c r="Y41" s="316">
        <v>0</v>
      </c>
      <c r="Z41" s="317"/>
      <c r="AA41" s="317"/>
      <c r="AB41" s="60" t="s">
        <v>73</v>
      </c>
      <c r="AC41" s="61"/>
      <c r="AD41" s="62"/>
      <c r="AE41" s="62"/>
      <c r="AF41" s="64"/>
      <c r="AG41" s="318">
        <v>0</v>
      </c>
      <c r="AH41" s="319"/>
      <c r="AI41" s="319"/>
      <c r="AJ41" s="60" t="s">
        <v>73</v>
      </c>
      <c r="AK41" s="318">
        <v>0</v>
      </c>
      <c r="AL41" s="319"/>
      <c r="AM41" s="319"/>
      <c r="AN41" s="60" t="s">
        <v>73</v>
      </c>
      <c r="AO41" s="320">
        <f t="shared" si="3"/>
        <v>0</v>
      </c>
      <c r="AP41" s="321"/>
      <c r="AQ41" s="60" t="s">
        <v>73</v>
      </c>
      <c r="AR41" s="305"/>
      <c r="AS41" s="306"/>
      <c r="AT41" s="306"/>
      <c r="AU41" s="306"/>
      <c r="AV41" s="307"/>
    </row>
    <row r="42" spans="1:48" ht="15.75" customHeight="1" x14ac:dyDescent="0.2">
      <c r="A42" s="4"/>
      <c r="B42" s="108" t="s">
        <v>78</v>
      </c>
      <c r="C42" s="55"/>
      <c r="D42" s="55"/>
      <c r="E42" s="55"/>
      <c r="F42" s="55"/>
      <c r="G42" s="55"/>
      <c r="H42" s="56"/>
      <c r="I42" s="308">
        <v>0</v>
      </c>
      <c r="J42" s="309"/>
      <c r="K42" s="310"/>
      <c r="L42" s="333"/>
      <c r="M42" s="334"/>
      <c r="N42" s="335"/>
      <c r="O42" s="336"/>
      <c r="P42" s="337"/>
      <c r="Q42" s="338"/>
      <c r="R42" s="52"/>
      <c r="S42" s="315" t="s">
        <v>79</v>
      </c>
      <c r="T42" s="236"/>
      <c r="U42" s="236"/>
      <c r="V42" s="236"/>
      <c r="W42" s="236"/>
      <c r="X42" s="249"/>
      <c r="Y42" s="316">
        <v>0</v>
      </c>
      <c r="Z42" s="317"/>
      <c r="AA42" s="317"/>
      <c r="AB42" s="60" t="s">
        <v>73</v>
      </c>
      <c r="AC42" s="61"/>
      <c r="AD42" s="62"/>
      <c r="AE42" s="62"/>
      <c r="AF42" s="64"/>
      <c r="AG42" s="318">
        <v>0</v>
      </c>
      <c r="AH42" s="319"/>
      <c r="AI42" s="319"/>
      <c r="AJ42" s="60" t="s">
        <v>73</v>
      </c>
      <c r="AK42" s="318">
        <v>0</v>
      </c>
      <c r="AL42" s="319"/>
      <c r="AM42" s="319"/>
      <c r="AN42" s="60" t="s">
        <v>73</v>
      </c>
      <c r="AO42" s="320">
        <f t="shared" si="3"/>
        <v>0</v>
      </c>
      <c r="AP42" s="321"/>
      <c r="AQ42" s="60" t="s">
        <v>73</v>
      </c>
      <c r="AR42" s="305"/>
      <c r="AS42" s="306"/>
      <c r="AT42" s="306"/>
      <c r="AU42" s="306"/>
      <c r="AV42" s="307"/>
    </row>
    <row r="43" spans="1:48" ht="15.75" customHeight="1" thickBot="1" x14ac:dyDescent="0.25">
      <c r="A43" s="4"/>
      <c r="B43" s="107" t="s">
        <v>80</v>
      </c>
      <c r="C43" s="65"/>
      <c r="D43" s="65"/>
      <c r="E43" s="65"/>
      <c r="F43" s="65"/>
      <c r="G43" s="65"/>
      <c r="H43" s="4"/>
      <c r="I43" s="351">
        <v>0</v>
      </c>
      <c r="J43" s="352"/>
      <c r="K43" s="353"/>
      <c r="L43" s="354"/>
      <c r="M43" s="355"/>
      <c r="N43" s="356"/>
      <c r="O43" s="357"/>
      <c r="P43" s="358"/>
      <c r="Q43" s="359"/>
      <c r="R43" s="52"/>
      <c r="S43" s="360" t="s">
        <v>81</v>
      </c>
      <c r="T43" s="228"/>
      <c r="U43" s="228"/>
      <c r="V43" s="228"/>
      <c r="W43" s="228"/>
      <c r="X43" s="270"/>
      <c r="Y43" s="361">
        <v>0</v>
      </c>
      <c r="Z43" s="362"/>
      <c r="AA43" s="362"/>
      <c r="AB43" s="66" t="s">
        <v>73</v>
      </c>
      <c r="AC43" s="67"/>
      <c r="AD43" s="68"/>
      <c r="AE43" s="68"/>
      <c r="AF43" s="69"/>
      <c r="AG43" s="363">
        <v>0</v>
      </c>
      <c r="AH43" s="364"/>
      <c r="AI43" s="364"/>
      <c r="AJ43" s="66" t="s">
        <v>73</v>
      </c>
      <c r="AK43" s="363">
        <v>0</v>
      </c>
      <c r="AL43" s="364"/>
      <c r="AM43" s="364"/>
      <c r="AN43" s="66" t="s">
        <v>73</v>
      </c>
      <c r="AO43" s="365">
        <f t="shared" si="3"/>
        <v>0</v>
      </c>
      <c r="AP43" s="366"/>
      <c r="AQ43" s="66" t="s">
        <v>73</v>
      </c>
      <c r="AR43" s="339"/>
      <c r="AS43" s="340"/>
      <c r="AT43" s="340"/>
      <c r="AU43" s="340"/>
      <c r="AV43" s="341"/>
    </row>
    <row r="44" spans="1:48" ht="15.75" customHeight="1" thickTop="1" thickBot="1" x14ac:dyDescent="0.25">
      <c r="A44" s="4"/>
      <c r="B44" s="29"/>
      <c r="C44" s="29"/>
      <c r="D44" s="70"/>
      <c r="E44" s="342" t="s">
        <v>82</v>
      </c>
      <c r="F44" s="342"/>
      <c r="G44" s="342"/>
      <c r="H44" s="343"/>
      <c r="I44" s="344">
        <f>SUM(I36:K43)</f>
        <v>0.99999999999999978</v>
      </c>
      <c r="J44" s="345"/>
      <c r="K44" s="346"/>
      <c r="L44" s="347"/>
      <c r="M44" s="348"/>
      <c r="N44" s="71"/>
      <c r="O44" s="349">
        <f>SUM(O36:P41)</f>
        <v>1251.9666666666665</v>
      </c>
      <c r="P44" s="35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25-19</vt:lpstr>
      <vt:lpstr>'25-19'!Print_Area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PEIP</cp:lastModifiedBy>
  <cp:lastPrinted>2019-09-30T02:41:55Z</cp:lastPrinted>
  <dcterms:created xsi:type="dcterms:W3CDTF">2017-04-30T16:06:17Z</dcterms:created>
  <dcterms:modified xsi:type="dcterms:W3CDTF">2019-09-30T03:12:40Z</dcterms:modified>
</cp:coreProperties>
</file>