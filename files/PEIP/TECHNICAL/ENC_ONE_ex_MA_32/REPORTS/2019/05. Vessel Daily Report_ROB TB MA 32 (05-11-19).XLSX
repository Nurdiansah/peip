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5-11" sheetId="270" r:id="rId1"/>
  </sheets>
  <definedNames>
    <definedName name="_xlnm.Print_Area" localSheetId="0">'05-11'!$A$1:$AW$56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<sst xmlns="http://schemas.openxmlformats.org/spreadsheetml/2006/main" count="189" uniqueCount="124">
  <si>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</si>
  <si>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</si>
  <si>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</si>
  <si>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</si>
  <si>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</si>
  <si>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</si>
  <si>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</si>
  <si>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</si>
  <si>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</si>
  <si>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</si>
  <si>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</si>
  <si>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</si>
  <si>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</si>
  <si>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</si>
  <si>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</si>
  <si>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</si>
  <si>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</si>
  <si>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</si>
  <si>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</si>
  <si>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</si>
  <si>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</si>
  <si>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</si>
  <si>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</si>
  <si>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</si>
  <si>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</si>
  <si>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</si>
  <si>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</si>
  <si>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</si>
  <si>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</si>
  <si>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</si>
  <si>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</si>
  <si>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</si>
  <si>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</si>
  <si>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</si>
  <si>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</si>
  <si>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</si>
  <si>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</si>
  <si>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</si>
  <si>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</si>
  <si>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</si>
  <si>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</si>
  <si>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</si>
  <si>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</si>
  <si>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</si>
  <si>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</si>
  <si>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</si>
  <si>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</si>
  <si>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</si>
  <si>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</si>
  <si>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</si>
  <si>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</si>
  <si>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</si>
  <si>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</si>
  <si>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</si>
  <si>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</si>
  <si>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</si>
  <si>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</si>
  <si>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</si>
  <si>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</si>
  <si>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</si>
  <si>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</si>
  <si>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</si>
  <si>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</si>
  <si>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</si>
  <si>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</si>
  <si>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</si>
  <si>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</si>
  <si>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</si>
  <si>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</si>
  <si>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</si>
  <si>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</si>
  <si>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</si>
  <si>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</si>
  <si>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</si>
  <si>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</si>
  <si>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</si>
  <si>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</si>
  <si>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</si>
  <si>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</si>
  <si>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</si>
  <si>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</si>
  <si>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</si>
  <si>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</si>
  <si>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</si>
  <si>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</si>
  <si>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</si>
  <si>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</si>
  <si>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</si>
  <si>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</si>
  <si>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</si>
  <si>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</si>
  <si>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</si>
  <si>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</si>
  <si>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</si>
  <si>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</si>
  <si>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</si>
  <si>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</si>
  <si>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</si>
  <si>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</si>
  <si>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</si>
  <si>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</si>
  <si>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</si>
  <si>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</si>
  <si>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2P - NIL</t>
  </si>
  <si>
    <t>2S - NIL</t>
  </si>
  <si>
    <t>W 0.7-1.0 Knot</t>
  </si>
  <si>
    <t>sling sea / 0.5/1,0 m</t>
  </si>
  <si>
    <t>W 1,0-12 Knot</t>
  </si>
  <si>
    <t>Moderate sea/ 1.0.-1.5 m</t>
  </si>
  <si>
    <t>Sling sea / 1.0-1.5 m</t>
  </si>
  <si>
    <t>stby di moring hose sbm</t>
  </si>
  <si>
    <t>tahan posisi dari arus yang berlawanan</t>
  </si>
  <si>
    <t>4S - 148cm = 6822lt</t>
  </si>
  <si>
    <t>W 16-20Knot</t>
  </si>
  <si>
    <t>05 November, 2019</t>
  </si>
  <si>
    <t>tukar posisi dengan megawati 5</t>
  </si>
  <si>
    <t>tukar posisi dengan mega 5</t>
  </si>
  <si>
    <t>tahan posisi dari arus dan angin berlawanan</t>
  </si>
  <si>
    <t>W 06-15 Knot</t>
  </si>
  <si>
    <t>sling sea / 0.5-1.0 m</t>
  </si>
  <si>
    <t>DT-77 cm=1123 lt</t>
  </si>
  <si>
    <t>4P - 124cm = 5315lt</t>
  </si>
  <si>
    <t>3P - 16cm = 544lt</t>
  </si>
  <si>
    <t>3S - 12cm = 348lt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</si>
</sst>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3" zoomScale="71" zoomScaleNormal="90" zoomScaleSheetLayoutView="71" workbookViewId="0">
      <selection activeCell="AR37" sqref="AR37:AV37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114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8</v>
      </c>
      <c r="Q10" s="134"/>
      <c r="R10" s="26" t="s">
        <v>21</v>
      </c>
      <c r="S10" s="134"/>
      <c r="T10" s="134"/>
      <c r="U10" s="27" t="s">
        <v>22</v>
      </c>
      <c r="V10" s="28"/>
      <c r="W10" s="135">
        <v>0</v>
      </c>
      <c r="X10" s="136"/>
      <c r="Y10" s="137">
        <v>0.12916666666666668</v>
      </c>
      <c r="Z10" s="138"/>
      <c r="AA10" s="137"/>
      <c r="AB10" s="138"/>
      <c r="AC10" s="137">
        <v>8.3333333333333329E-2</v>
      </c>
      <c r="AD10" s="138"/>
      <c r="AE10" s="137">
        <v>4.1666666666666664E-2</v>
      </c>
      <c r="AF10" s="138"/>
      <c r="AG10" s="137">
        <v>4.1666666666666666E-3</v>
      </c>
      <c r="AH10" s="138"/>
      <c r="AI10" s="137"/>
      <c r="AJ10" s="138"/>
      <c r="AK10" s="137"/>
      <c r="AL10" s="139"/>
      <c r="AM10" s="157" t="s">
        <v>111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0.12916666666666668</v>
      </c>
      <c r="X11" s="180"/>
      <c r="Y11" s="161">
        <v>0.19166666666666665</v>
      </c>
      <c r="Z11" s="179"/>
      <c r="AA11" s="161"/>
      <c r="AB11" s="179"/>
      <c r="AC11" s="183"/>
      <c r="AD11" s="184"/>
      <c r="AE11" s="183"/>
      <c r="AF11" s="184"/>
      <c r="AG11" s="183"/>
      <c r="AH11" s="184"/>
      <c r="AI11" s="161"/>
      <c r="AJ11" s="179"/>
      <c r="AK11" s="161">
        <v>6.25E-2</v>
      </c>
      <c r="AL11" s="162"/>
      <c r="AM11" s="157" t="s">
        <v>110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0.19166666666666665</v>
      </c>
      <c r="X12" s="180"/>
      <c r="Y12" s="161">
        <v>0.33749999999999997</v>
      </c>
      <c r="Z12" s="178"/>
      <c r="AA12" s="161"/>
      <c r="AB12" s="179"/>
      <c r="AC12" s="161">
        <v>9.5833333333333326E-2</v>
      </c>
      <c r="AD12" s="179"/>
      <c r="AE12" s="161">
        <v>2.9166666666666664E-2</v>
      </c>
      <c r="AF12" s="179"/>
      <c r="AG12" s="161">
        <v>2.0833333333333332E-2</v>
      </c>
      <c r="AH12" s="179"/>
      <c r="AI12" s="181"/>
      <c r="AJ12" s="182"/>
      <c r="AK12" s="161"/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0.33749999999999997</v>
      </c>
      <c r="X13" s="177"/>
      <c r="Y13" s="161">
        <v>0.37916666666666665</v>
      </c>
      <c r="Z13" s="178"/>
      <c r="AA13" s="161"/>
      <c r="AB13" s="179"/>
      <c r="AC13" s="183"/>
      <c r="AD13" s="184"/>
      <c r="AE13" s="161"/>
      <c r="AF13" s="179"/>
      <c r="AG13" s="161"/>
      <c r="AH13" s="179"/>
      <c r="AI13" s="185"/>
      <c r="AJ13" s="185"/>
      <c r="AK13" s="186">
        <v>4.1666666666666664E-2</v>
      </c>
      <c r="AL13" s="187"/>
      <c r="AM13" s="157" t="s">
        <v>110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4" t="s">
        <v>29</v>
      </c>
      <c r="C14" s="195"/>
      <c r="D14" s="195"/>
      <c r="E14" s="195"/>
      <c r="F14" s="196" t="s">
        <v>118</v>
      </c>
      <c r="G14" s="197"/>
      <c r="H14" s="197"/>
      <c r="I14" s="198"/>
      <c r="J14" s="199" t="s">
        <v>105</v>
      </c>
      <c r="K14" s="197"/>
      <c r="L14" s="197"/>
      <c r="M14" s="198"/>
      <c r="N14" s="196" t="s">
        <v>107</v>
      </c>
      <c r="O14" s="197"/>
      <c r="P14" s="197"/>
      <c r="Q14" s="198"/>
      <c r="R14" s="199" t="s">
        <v>113</v>
      </c>
      <c r="S14" s="197"/>
      <c r="T14" s="197"/>
      <c r="U14" s="198"/>
      <c r="V14" s="99"/>
      <c r="W14" s="176">
        <v>0.37916666666666665</v>
      </c>
      <c r="X14" s="177"/>
      <c r="Y14" s="161">
        <v>0.39999999999999997</v>
      </c>
      <c r="Z14" s="178"/>
      <c r="AA14" s="161"/>
      <c r="AB14" s="179"/>
      <c r="AC14" s="161">
        <v>1.7361111111111112E-2</v>
      </c>
      <c r="AD14" s="179"/>
      <c r="AE14" s="181">
        <v>2.0833333333333333E-3</v>
      </c>
      <c r="AF14" s="182"/>
      <c r="AG14" s="181">
        <v>1.3888888888888889E-3</v>
      </c>
      <c r="AH14" s="182"/>
      <c r="AI14" s="161"/>
      <c r="AJ14" s="179"/>
      <c r="AK14" s="161"/>
      <c r="AL14" s="162"/>
      <c r="AM14" s="157" t="s">
        <v>115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8" t="s">
        <v>30</v>
      </c>
      <c r="C15" s="189"/>
      <c r="D15" s="189"/>
      <c r="E15" s="190"/>
      <c r="F15" s="191" t="s">
        <v>119</v>
      </c>
      <c r="G15" s="192"/>
      <c r="H15" s="192"/>
      <c r="I15" s="193"/>
      <c r="J15" s="191" t="s">
        <v>106</v>
      </c>
      <c r="K15" s="192"/>
      <c r="L15" s="192"/>
      <c r="M15" s="193"/>
      <c r="N15" s="191" t="s">
        <v>109</v>
      </c>
      <c r="O15" s="192"/>
      <c r="P15" s="192"/>
      <c r="Q15" s="193"/>
      <c r="R15" s="191" t="s">
        <v>108</v>
      </c>
      <c r="S15" s="192"/>
      <c r="T15" s="192"/>
      <c r="U15" s="193"/>
      <c r="V15" s="99"/>
      <c r="W15" s="176">
        <v>0.39999999999999997</v>
      </c>
      <c r="X15" s="177"/>
      <c r="Y15" s="161">
        <v>0.62916666666666665</v>
      </c>
      <c r="Z15" s="178"/>
      <c r="AA15" s="161"/>
      <c r="AB15" s="179"/>
      <c r="AC15" s="161"/>
      <c r="AD15" s="179"/>
      <c r="AE15" s="161"/>
      <c r="AF15" s="179"/>
      <c r="AG15" s="161"/>
      <c r="AH15" s="179"/>
      <c r="AI15" s="161"/>
      <c r="AJ15" s="179"/>
      <c r="AK15" s="161">
        <v>0.22916666666666666</v>
      </c>
      <c r="AL15" s="162"/>
      <c r="AM15" s="157" t="s">
        <v>110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0" t="s">
        <v>31</v>
      </c>
      <c r="C16" s="201"/>
      <c r="D16" s="201"/>
      <c r="E16" s="201"/>
      <c r="F16" s="202"/>
      <c r="G16" s="203"/>
      <c r="H16" s="203"/>
      <c r="I16" s="204"/>
      <c r="J16" s="202"/>
      <c r="K16" s="203"/>
      <c r="L16" s="203"/>
      <c r="M16" s="204"/>
      <c r="N16" s="202"/>
      <c r="O16" s="203"/>
      <c r="P16" s="203"/>
      <c r="Q16" s="204"/>
      <c r="R16" s="202"/>
      <c r="S16" s="203"/>
      <c r="T16" s="203"/>
      <c r="U16" s="204"/>
      <c r="V16" s="99"/>
      <c r="W16" s="176">
        <v>0.62916666666666665</v>
      </c>
      <c r="X16" s="178"/>
      <c r="Y16" s="161">
        <v>0.65</v>
      </c>
      <c r="Z16" s="178"/>
      <c r="AA16" s="161"/>
      <c r="AB16" s="179"/>
      <c r="AC16" s="161">
        <v>1.7361111111111112E-2</v>
      </c>
      <c r="AD16" s="179"/>
      <c r="AE16" s="161">
        <v>2.0833333333333333E-3</v>
      </c>
      <c r="AF16" s="179"/>
      <c r="AG16" s="161">
        <v>1.3888888888888889E-3</v>
      </c>
      <c r="AH16" s="179"/>
      <c r="AI16" s="161"/>
      <c r="AJ16" s="179"/>
      <c r="AK16" s="161"/>
      <c r="AL16" s="162"/>
      <c r="AM16" s="157" t="s">
        <v>116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0.65</v>
      </c>
      <c r="X17" s="178"/>
      <c r="Y17" s="161">
        <v>0.72083333333333333</v>
      </c>
      <c r="Z17" s="178"/>
      <c r="AA17" s="161"/>
      <c r="AB17" s="179"/>
      <c r="AC17" s="183"/>
      <c r="AD17" s="184"/>
      <c r="AE17" s="183"/>
      <c r="AF17" s="184"/>
      <c r="AG17" s="183"/>
      <c r="AH17" s="184"/>
      <c r="AI17" s="161"/>
      <c r="AJ17" s="179"/>
      <c r="AK17" s="161">
        <v>7.0833333333333331E-2</v>
      </c>
      <c r="AL17" s="162"/>
      <c r="AM17" s="157" t="s">
        <v>110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0.72083333333333333</v>
      </c>
      <c r="X18" s="178"/>
      <c r="Y18" s="161">
        <v>0.92499999999999993</v>
      </c>
      <c r="Z18" s="178"/>
      <c r="AA18" s="161"/>
      <c r="AB18" s="179"/>
      <c r="AC18" s="161">
        <v>0.16666666666666666</v>
      </c>
      <c r="AD18" s="179"/>
      <c r="AE18" s="183">
        <v>2.9166666666666664E-2</v>
      </c>
      <c r="AF18" s="184"/>
      <c r="AG18" s="183">
        <v>8.3333333333333332E-3</v>
      </c>
      <c r="AH18" s="184"/>
      <c r="AI18" s="161"/>
      <c r="AJ18" s="179"/>
      <c r="AK18" s="161"/>
      <c r="AL18" s="162"/>
      <c r="AM18" s="157" t="s">
        <v>117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2" t="s">
        <v>33</v>
      </c>
      <c r="D19" s="213"/>
      <c r="E19" s="213"/>
      <c r="F19" s="213"/>
      <c r="G19" s="213"/>
      <c r="H19" s="213"/>
      <c r="I19" s="213"/>
      <c r="J19" s="213"/>
      <c r="K19" s="213"/>
      <c r="L19" s="214"/>
      <c r="M19" s="212" t="s">
        <v>34</v>
      </c>
      <c r="N19" s="213"/>
      <c r="O19" s="214"/>
      <c r="P19" s="212" t="s">
        <v>35</v>
      </c>
      <c r="Q19" s="213"/>
      <c r="R19" s="214"/>
      <c r="S19" s="212" t="s">
        <v>36</v>
      </c>
      <c r="T19" s="213"/>
      <c r="U19" s="215"/>
      <c r="V19" s="100"/>
      <c r="W19" s="176">
        <v>0.92499999999999993</v>
      </c>
      <c r="X19" s="178"/>
      <c r="Y19" s="161">
        <v>1</v>
      </c>
      <c r="Z19" s="178"/>
      <c r="AA19" s="161"/>
      <c r="AB19" s="179"/>
      <c r="AC19" s="181"/>
      <c r="AD19" s="182"/>
      <c r="AE19" s="161"/>
      <c r="AF19" s="179"/>
      <c r="AG19" s="161"/>
      <c r="AH19" s="179"/>
      <c r="AI19" s="161"/>
      <c r="AJ19" s="179"/>
      <c r="AK19" s="161">
        <v>7.4999999999999997E-2</v>
      </c>
      <c r="AL19" s="162"/>
      <c r="AM19" s="157" t="s">
        <v>110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5" t="s">
        <v>94</v>
      </c>
      <c r="D20" s="195"/>
      <c r="E20" s="195"/>
      <c r="F20" s="195"/>
      <c r="G20" s="195"/>
      <c r="H20" s="195"/>
      <c r="I20" s="195"/>
      <c r="J20" s="195"/>
      <c r="K20" s="195"/>
      <c r="L20" s="11"/>
      <c r="M20" s="206">
        <v>0</v>
      </c>
      <c r="N20" s="207"/>
      <c r="O20" s="208"/>
      <c r="P20" s="206">
        <v>0</v>
      </c>
      <c r="Q20" s="207"/>
      <c r="R20" s="208"/>
      <c r="S20" s="209">
        <f>M20+P20</f>
        <v>0</v>
      </c>
      <c r="T20" s="210"/>
      <c r="U20" s="211"/>
      <c r="V20" s="101"/>
      <c r="W20" s="176"/>
      <c r="X20" s="178"/>
      <c r="Y20" s="161"/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/>
      <c r="AL20" s="216"/>
      <c r="AM20" s="157"/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7" t="s">
        <v>37</v>
      </c>
      <c r="D21" s="189"/>
      <c r="E21" s="189"/>
      <c r="F21" s="189"/>
      <c r="G21" s="189"/>
      <c r="H21" s="189"/>
      <c r="I21" s="189"/>
      <c r="J21" s="189"/>
      <c r="K21" s="189"/>
      <c r="L21" s="16"/>
      <c r="M21" s="218">
        <v>0</v>
      </c>
      <c r="N21" s="219"/>
      <c r="O21" s="220"/>
      <c r="P21" s="218">
        <v>0</v>
      </c>
      <c r="Q21" s="219"/>
      <c r="R21" s="220"/>
      <c r="S21" s="221">
        <f t="shared" ref="S21:S25" si="0">M21+P21</f>
        <v>0</v>
      </c>
      <c r="T21" s="222"/>
      <c r="U21" s="223"/>
      <c r="V21" s="102"/>
      <c r="W21" s="176"/>
      <c r="X21" s="179"/>
      <c r="Y21" s="161"/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/>
      <c r="AL21" s="162"/>
      <c r="AM21" s="157"/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7" t="s">
        <v>38</v>
      </c>
      <c r="D22" s="189"/>
      <c r="E22" s="189"/>
      <c r="F22" s="189"/>
      <c r="G22" s="189"/>
      <c r="H22" s="189"/>
      <c r="I22" s="189"/>
      <c r="J22" s="189"/>
      <c r="K22" s="189"/>
      <c r="L22" s="16"/>
      <c r="M22" s="218">
        <v>0</v>
      </c>
      <c r="N22" s="219"/>
      <c r="O22" s="220"/>
      <c r="P22" s="218">
        <v>0</v>
      </c>
      <c r="Q22" s="219"/>
      <c r="R22" s="220"/>
      <c r="S22" s="221">
        <f t="shared" si="0"/>
        <v>0</v>
      </c>
      <c r="T22" s="222"/>
      <c r="U22" s="223"/>
      <c r="V22" s="103"/>
      <c r="W22" s="176"/>
      <c r="X22" s="179"/>
      <c r="Y22" s="161"/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/>
      <c r="AL22" s="162"/>
      <c r="AM22" s="157"/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7" t="s">
        <v>39</v>
      </c>
      <c r="D23" s="189"/>
      <c r="E23" s="189"/>
      <c r="F23" s="189"/>
      <c r="G23" s="189"/>
      <c r="H23" s="189"/>
      <c r="I23" s="189"/>
      <c r="J23" s="189"/>
      <c r="K23" s="189"/>
      <c r="L23" s="16"/>
      <c r="M23" s="218">
        <v>0</v>
      </c>
      <c r="N23" s="219"/>
      <c r="O23" s="220"/>
      <c r="P23" s="218">
        <v>0</v>
      </c>
      <c r="Q23" s="219"/>
      <c r="R23" s="220"/>
      <c r="S23" s="221">
        <f t="shared" si="0"/>
        <v>0</v>
      </c>
      <c r="T23" s="222"/>
      <c r="U23" s="223"/>
      <c r="V23" s="103"/>
      <c r="W23" s="176"/>
      <c r="X23" s="179"/>
      <c r="Y23" s="161"/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/>
      <c r="AL23" s="162"/>
      <c r="AM23" s="157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2" t="s">
        <v>40</v>
      </c>
      <c r="D24" s="233"/>
      <c r="E24" s="233"/>
      <c r="F24" s="233"/>
      <c r="G24" s="233"/>
      <c r="H24" s="233"/>
      <c r="I24" s="233"/>
      <c r="J24" s="233"/>
      <c r="K24" s="233"/>
      <c r="L24" s="16"/>
      <c r="M24" s="218">
        <v>0</v>
      </c>
      <c r="N24" s="219"/>
      <c r="O24" s="220"/>
      <c r="P24" s="218">
        <v>0</v>
      </c>
      <c r="Q24" s="219"/>
      <c r="R24" s="220"/>
      <c r="S24" s="221">
        <v>0</v>
      </c>
      <c r="T24" s="222"/>
      <c r="U24" s="223"/>
      <c r="V24" s="103"/>
      <c r="W24" s="176"/>
      <c r="X24" s="178"/>
      <c r="Y24" s="161"/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/>
      <c r="AL24" s="187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4" t="s">
        <v>41</v>
      </c>
      <c r="D25" s="225"/>
      <c r="E25" s="225"/>
      <c r="F25" s="225"/>
      <c r="G25" s="225"/>
      <c r="H25" s="225"/>
      <c r="I25" s="225"/>
      <c r="J25" s="225"/>
      <c r="K25" s="225"/>
      <c r="L25" s="38"/>
      <c r="M25" s="226">
        <v>0</v>
      </c>
      <c r="N25" s="227"/>
      <c r="O25" s="228"/>
      <c r="P25" s="226">
        <v>0</v>
      </c>
      <c r="Q25" s="227"/>
      <c r="R25" s="228"/>
      <c r="S25" s="229">
        <f t="shared" si="0"/>
        <v>0</v>
      </c>
      <c r="T25" s="230"/>
      <c r="U25" s="231"/>
      <c r="V25" s="103"/>
      <c r="W25" s="176"/>
      <c r="X25" s="177"/>
      <c r="Y25" s="161"/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2" t="s">
        <v>43</v>
      </c>
      <c r="D26" s="213"/>
      <c r="E26" s="213"/>
      <c r="F26" s="213"/>
      <c r="G26" s="213"/>
      <c r="H26" s="213"/>
      <c r="I26" s="213"/>
      <c r="J26" s="213"/>
      <c r="K26" s="213"/>
      <c r="L26" s="214"/>
      <c r="M26" s="212" t="s">
        <v>34</v>
      </c>
      <c r="N26" s="213"/>
      <c r="O26" s="214"/>
      <c r="P26" s="212" t="s">
        <v>35</v>
      </c>
      <c r="Q26" s="213"/>
      <c r="R26" s="214"/>
      <c r="S26" s="243" t="s">
        <v>44</v>
      </c>
      <c r="T26" s="244"/>
      <c r="U26" s="245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4" t="s">
        <v>45</v>
      </c>
      <c r="D27" s="235"/>
      <c r="E27" s="235"/>
      <c r="F27" s="235"/>
      <c r="G27" s="235"/>
      <c r="H27" s="235"/>
      <c r="I27" s="235"/>
      <c r="J27" s="235"/>
      <c r="K27" s="235"/>
      <c r="L27" s="236"/>
      <c r="M27" s="237">
        <v>0</v>
      </c>
      <c r="N27" s="238"/>
      <c r="O27" s="239"/>
      <c r="P27" s="237">
        <v>0</v>
      </c>
      <c r="Q27" s="238"/>
      <c r="R27" s="239"/>
      <c r="S27" s="240">
        <f t="shared" ref="S27:S32" si="1">M27+P27</f>
        <v>0</v>
      </c>
      <c r="T27" s="241"/>
      <c r="U27" s="242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2" t="s">
        <v>46</v>
      </c>
      <c r="D28" s="233"/>
      <c r="E28" s="233"/>
      <c r="F28" s="233"/>
      <c r="G28" s="233"/>
      <c r="H28" s="233"/>
      <c r="I28" s="233"/>
      <c r="J28" s="233"/>
      <c r="K28" s="233"/>
      <c r="L28" s="246"/>
      <c r="M28" s="247">
        <v>0</v>
      </c>
      <c r="N28" s="248"/>
      <c r="O28" s="249"/>
      <c r="P28" s="247">
        <v>0</v>
      </c>
      <c r="Q28" s="248"/>
      <c r="R28" s="249"/>
      <c r="S28" s="250">
        <f t="shared" si="1"/>
        <v>0</v>
      </c>
      <c r="T28" s="251"/>
      <c r="U28" s="252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3" t="s">
        <v>47</v>
      </c>
      <c r="E29" s="233"/>
      <c r="F29" s="233"/>
      <c r="G29" s="233"/>
      <c r="H29" s="233"/>
      <c r="I29" s="233"/>
      <c r="J29" s="233"/>
      <c r="K29" s="233"/>
      <c r="L29" s="246"/>
      <c r="M29" s="247">
        <v>0</v>
      </c>
      <c r="N29" s="248"/>
      <c r="O29" s="249"/>
      <c r="P29" s="247">
        <v>0</v>
      </c>
      <c r="Q29" s="248"/>
      <c r="R29" s="249"/>
      <c r="S29" s="250">
        <f t="shared" si="1"/>
        <v>0</v>
      </c>
      <c r="T29" s="251"/>
      <c r="U29" s="252"/>
      <c r="V29" s="30"/>
      <c r="W29" s="253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3" t="s">
        <v>48</v>
      </c>
      <c r="E30" s="233"/>
      <c r="F30" s="233"/>
      <c r="G30" s="233"/>
      <c r="H30" s="233"/>
      <c r="I30" s="233"/>
      <c r="J30" s="233"/>
      <c r="K30" s="233"/>
      <c r="L30" s="246"/>
      <c r="M30" s="247">
        <v>0</v>
      </c>
      <c r="N30" s="248"/>
      <c r="O30" s="249"/>
      <c r="P30" s="247">
        <v>0</v>
      </c>
      <c r="Q30" s="248"/>
      <c r="R30" s="249"/>
      <c r="S30" s="250">
        <f t="shared" si="1"/>
        <v>0</v>
      </c>
      <c r="T30" s="251"/>
      <c r="U30" s="252"/>
      <c r="V30" s="30"/>
      <c r="W30" s="253"/>
      <c r="X30" s="178"/>
      <c r="Y30" s="254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3" t="s">
        <v>49</v>
      </c>
      <c r="E31" s="233"/>
      <c r="F31" s="233"/>
      <c r="G31" s="233"/>
      <c r="H31" s="233"/>
      <c r="I31" s="233"/>
      <c r="J31" s="233"/>
      <c r="K31" s="233"/>
      <c r="L31" s="246"/>
      <c r="M31" s="247">
        <v>0</v>
      </c>
      <c r="N31" s="248"/>
      <c r="O31" s="249"/>
      <c r="P31" s="247">
        <v>0</v>
      </c>
      <c r="Q31" s="248"/>
      <c r="R31" s="249"/>
      <c r="S31" s="250">
        <f t="shared" si="1"/>
        <v>0</v>
      </c>
      <c r="T31" s="251"/>
      <c r="U31" s="252"/>
      <c r="V31" s="30"/>
      <c r="W31" s="253"/>
      <c r="X31" s="178"/>
      <c r="Y31" s="254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5" t="s">
        <v>50</v>
      </c>
      <c r="E32" s="225"/>
      <c r="F32" s="225"/>
      <c r="G32" s="225"/>
      <c r="H32" s="225"/>
      <c r="I32" s="225"/>
      <c r="J32" s="225"/>
      <c r="K32" s="225"/>
      <c r="L32" s="269"/>
      <c r="M32" s="270">
        <v>0</v>
      </c>
      <c r="N32" s="271"/>
      <c r="O32" s="272"/>
      <c r="P32" s="270">
        <v>0</v>
      </c>
      <c r="Q32" s="271"/>
      <c r="R32" s="272"/>
      <c r="S32" s="273">
        <f t="shared" si="1"/>
        <v>0</v>
      </c>
      <c r="T32" s="274"/>
      <c r="U32" s="275"/>
      <c r="V32" s="30"/>
      <c r="W32" s="276" t="s">
        <v>87</v>
      </c>
      <c r="X32" s="277"/>
      <c r="Y32" s="277"/>
      <c r="Z32" s="278"/>
      <c r="AA32" s="279">
        <f>SUM(AA10:AB31)</f>
        <v>0</v>
      </c>
      <c r="AB32" s="280"/>
      <c r="AC32" s="255">
        <f>SUM(AC10:AD31)</f>
        <v>0.38055555555555554</v>
      </c>
      <c r="AD32" s="256"/>
      <c r="AE32" s="279">
        <f>SUM(AE10:AF31)</f>
        <v>0.10416666666666667</v>
      </c>
      <c r="AF32" s="280"/>
      <c r="AG32" s="255">
        <f>SUM(AG10:AH31)</f>
        <v>3.6111111111111108E-2</v>
      </c>
      <c r="AH32" s="256"/>
      <c r="AI32" s="255">
        <f>SUM(AI10:AJ31)</f>
        <v>0</v>
      </c>
      <c r="AJ32" s="256"/>
      <c r="AK32" s="255">
        <f>SUM(AK10:AL31)</f>
        <v>0.47916666666666669</v>
      </c>
      <c r="AL32" s="257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8" t="s">
        <v>53</v>
      </c>
      <c r="C35" s="213"/>
      <c r="D35" s="213"/>
      <c r="E35" s="213"/>
      <c r="F35" s="213"/>
      <c r="G35" s="213"/>
      <c r="H35" s="215"/>
      <c r="I35" s="259" t="s">
        <v>54</v>
      </c>
      <c r="J35" s="260"/>
      <c r="K35" s="261"/>
      <c r="L35" s="259" t="s">
        <v>55</v>
      </c>
      <c r="M35" s="260"/>
      <c r="N35" s="261"/>
      <c r="O35" s="259" t="s">
        <v>56</v>
      </c>
      <c r="P35" s="260"/>
      <c r="Q35" s="261"/>
      <c r="R35" s="47"/>
      <c r="S35" s="262" t="s">
        <v>57</v>
      </c>
      <c r="T35" s="173"/>
      <c r="U35" s="173"/>
      <c r="V35" s="173"/>
      <c r="W35" s="173"/>
      <c r="X35" s="174"/>
      <c r="Y35" s="263" t="s">
        <v>58</v>
      </c>
      <c r="Z35" s="264"/>
      <c r="AA35" s="264"/>
      <c r="AB35" s="265"/>
      <c r="AC35" s="266" t="s">
        <v>59</v>
      </c>
      <c r="AD35" s="267"/>
      <c r="AE35" s="267"/>
      <c r="AF35" s="268"/>
      <c r="AG35" s="212" t="s">
        <v>60</v>
      </c>
      <c r="AH35" s="213"/>
      <c r="AI35" s="213"/>
      <c r="AJ35" s="214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1">
        <f>SUM(AA10:AB31)</f>
        <v>0</v>
      </c>
      <c r="J36" s="282"/>
      <c r="K36" s="283"/>
      <c r="L36" s="284">
        <v>0</v>
      </c>
      <c r="M36" s="285"/>
      <c r="N36" s="50" t="s">
        <v>65</v>
      </c>
      <c r="O36" s="286">
        <f t="shared" ref="O36:O41" si="2">(I36*24)*L36</f>
        <v>0</v>
      </c>
      <c r="P36" s="287"/>
      <c r="Q36" s="51" t="s">
        <v>65</v>
      </c>
      <c r="R36" s="52"/>
      <c r="S36" s="288" t="s">
        <v>66</v>
      </c>
      <c r="T36" s="289"/>
      <c r="U36" s="289"/>
      <c r="V36" s="289"/>
      <c r="W36" s="289"/>
      <c r="X36" s="290"/>
      <c r="Y36" s="291">
        <v>16018</v>
      </c>
      <c r="Z36" s="292"/>
      <c r="AA36" s="292"/>
      <c r="AB36" s="53" t="s">
        <v>65</v>
      </c>
      <c r="AC36" s="293">
        <v>1866</v>
      </c>
      <c r="AD36" s="294"/>
      <c r="AE36" s="294"/>
      <c r="AF36" s="54" t="s">
        <v>65</v>
      </c>
      <c r="AG36" s="295">
        <v>0</v>
      </c>
      <c r="AH36" s="296"/>
      <c r="AI36" s="296"/>
      <c r="AJ36" s="53" t="s">
        <v>65</v>
      </c>
      <c r="AK36" s="297">
        <v>0</v>
      </c>
      <c r="AL36" s="298"/>
      <c r="AM36" s="298"/>
      <c r="AN36" s="53" t="s">
        <v>65</v>
      </c>
      <c r="AO36" s="299">
        <f>(Y36+AG36)-(AC36+AK36)</f>
        <v>14152</v>
      </c>
      <c r="AP36" s="300"/>
      <c r="AQ36" s="53" t="s">
        <v>65</v>
      </c>
      <c r="AR36" s="301" t="s">
        <v>120</v>
      </c>
      <c r="AS36" s="302"/>
      <c r="AT36" s="302"/>
      <c r="AU36" s="302"/>
      <c r="AV36" s="303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7">
        <f>SUM(AC10:AD31)</f>
        <v>0.38055555555555554</v>
      </c>
      <c r="J37" s="308"/>
      <c r="K37" s="309"/>
      <c r="L37" s="310">
        <v>120</v>
      </c>
      <c r="M37" s="311"/>
      <c r="N37" s="57" t="s">
        <v>65</v>
      </c>
      <c r="O37" s="312">
        <f t="shared" si="2"/>
        <v>1096</v>
      </c>
      <c r="P37" s="313"/>
      <c r="Q37" s="58" t="s">
        <v>65</v>
      </c>
      <c r="R37" s="47"/>
      <c r="S37" s="321" t="s">
        <v>68</v>
      </c>
      <c r="T37" s="322"/>
      <c r="U37" s="322"/>
      <c r="V37" s="322"/>
      <c r="W37" s="322"/>
      <c r="X37" s="323"/>
      <c r="Y37" s="324">
        <v>56</v>
      </c>
      <c r="Z37" s="325"/>
      <c r="AA37" s="325"/>
      <c r="AB37" s="59" t="s">
        <v>65</v>
      </c>
      <c r="AC37" s="326">
        <v>4</v>
      </c>
      <c r="AD37" s="327"/>
      <c r="AE37" s="327"/>
      <c r="AF37" s="60" t="s">
        <v>65</v>
      </c>
      <c r="AG37" s="328">
        <v>0</v>
      </c>
      <c r="AH37" s="329"/>
      <c r="AI37" s="329"/>
      <c r="AJ37" s="59" t="s">
        <v>65</v>
      </c>
      <c r="AK37" s="317">
        <v>0</v>
      </c>
      <c r="AL37" s="318"/>
      <c r="AM37" s="318"/>
      <c r="AN37" s="59" t="s">
        <v>65</v>
      </c>
      <c r="AO37" s="330">
        <f>(Y37+AG37)-(AC37+AK37)</f>
        <v>52</v>
      </c>
      <c r="AP37" s="331"/>
      <c r="AQ37" s="59" t="s">
        <v>65</v>
      </c>
      <c r="AR37" s="304" t="s">
        <v>103</v>
      </c>
      <c r="AS37" s="305"/>
      <c r="AT37" s="305"/>
      <c r="AU37" s="305"/>
      <c r="AV37" s="306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7">
        <f>SUM(AE10:AF31)</f>
        <v>0.10416666666666667</v>
      </c>
      <c r="J38" s="308"/>
      <c r="K38" s="309"/>
      <c r="L38" s="310">
        <v>89</v>
      </c>
      <c r="M38" s="311"/>
      <c r="N38" s="57" t="s">
        <v>65</v>
      </c>
      <c r="O38" s="312">
        <f t="shared" si="2"/>
        <v>222.5</v>
      </c>
      <c r="P38" s="313"/>
      <c r="Q38" s="58" t="s">
        <v>65</v>
      </c>
      <c r="R38" s="47"/>
      <c r="S38" s="314" t="s">
        <v>70</v>
      </c>
      <c r="T38" s="233"/>
      <c r="U38" s="233"/>
      <c r="V38" s="233"/>
      <c r="W38" s="233"/>
      <c r="X38" s="246"/>
      <c r="Y38" s="315">
        <v>0</v>
      </c>
      <c r="Z38" s="316"/>
      <c r="AA38" s="316"/>
      <c r="AB38" s="59" t="s">
        <v>65</v>
      </c>
      <c r="AC38" s="61"/>
      <c r="AD38" s="62"/>
      <c r="AE38" s="62"/>
      <c r="AF38" s="63"/>
      <c r="AG38" s="317">
        <v>0</v>
      </c>
      <c r="AH38" s="318"/>
      <c r="AI38" s="318"/>
      <c r="AJ38" s="59" t="s">
        <v>65</v>
      </c>
      <c r="AK38" s="317">
        <v>0</v>
      </c>
      <c r="AL38" s="318"/>
      <c r="AM38" s="318"/>
      <c r="AN38" s="59" t="s">
        <v>65</v>
      </c>
      <c r="AO38" s="319">
        <f t="shared" ref="AO38:AO43" si="3">(Y38+AG38)-(AC38+AK38)</f>
        <v>0</v>
      </c>
      <c r="AP38" s="320"/>
      <c r="AQ38" s="59" t="s">
        <v>65</v>
      </c>
      <c r="AR38" s="304" t="s">
        <v>104</v>
      </c>
      <c r="AS38" s="305"/>
      <c r="AT38" s="305"/>
      <c r="AU38" s="305"/>
      <c r="AV38" s="306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7">
        <f>SUM(AG10:AH31)</f>
        <v>3.6111111111111108E-2</v>
      </c>
      <c r="J39" s="308"/>
      <c r="K39" s="309"/>
      <c r="L39" s="310">
        <v>89</v>
      </c>
      <c r="M39" s="311"/>
      <c r="N39" s="57" t="s">
        <v>65</v>
      </c>
      <c r="O39" s="312">
        <f t="shared" si="2"/>
        <v>77.133333333333326</v>
      </c>
      <c r="P39" s="313"/>
      <c r="Q39" s="58" t="s">
        <v>65</v>
      </c>
      <c r="R39" s="47"/>
      <c r="S39" s="314" t="s">
        <v>72</v>
      </c>
      <c r="T39" s="233"/>
      <c r="U39" s="233"/>
      <c r="V39" s="233"/>
      <c r="W39" s="233"/>
      <c r="X39" s="246"/>
      <c r="Y39" s="315">
        <v>0</v>
      </c>
      <c r="Z39" s="316"/>
      <c r="AA39" s="316"/>
      <c r="AB39" s="60" t="s">
        <v>73</v>
      </c>
      <c r="AC39" s="61"/>
      <c r="AD39" s="62"/>
      <c r="AE39" s="62"/>
      <c r="AF39" s="64"/>
      <c r="AG39" s="317">
        <v>0</v>
      </c>
      <c r="AH39" s="318"/>
      <c r="AI39" s="318"/>
      <c r="AJ39" s="60" t="s">
        <v>73</v>
      </c>
      <c r="AK39" s="317">
        <v>0</v>
      </c>
      <c r="AL39" s="318"/>
      <c r="AM39" s="318"/>
      <c r="AN39" s="60" t="s">
        <v>73</v>
      </c>
      <c r="AO39" s="319">
        <f t="shared" si="3"/>
        <v>0</v>
      </c>
      <c r="AP39" s="320"/>
      <c r="AQ39" s="60" t="s">
        <v>73</v>
      </c>
      <c r="AR39" s="304" t="s">
        <v>122</v>
      </c>
      <c r="AS39" s="305"/>
      <c r="AT39" s="305"/>
      <c r="AU39" s="305"/>
      <c r="AV39" s="306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7">
        <f>SUM(AI10:AJ31)</f>
        <v>0</v>
      </c>
      <c r="J40" s="308"/>
      <c r="K40" s="309"/>
      <c r="L40" s="310">
        <v>0</v>
      </c>
      <c r="M40" s="311"/>
      <c r="N40" s="57" t="s">
        <v>65</v>
      </c>
      <c r="O40" s="312">
        <f t="shared" si="2"/>
        <v>0</v>
      </c>
      <c r="P40" s="313"/>
      <c r="Q40" s="58" t="s">
        <v>65</v>
      </c>
      <c r="R40" s="52"/>
      <c r="S40" s="314" t="s">
        <v>75</v>
      </c>
      <c r="T40" s="233"/>
      <c r="U40" s="233"/>
      <c r="V40" s="233"/>
      <c r="W40" s="233"/>
      <c r="X40" s="246"/>
      <c r="Y40" s="315">
        <v>0</v>
      </c>
      <c r="Z40" s="316"/>
      <c r="AA40" s="316"/>
      <c r="AB40" s="60" t="s">
        <v>73</v>
      </c>
      <c r="AC40" s="61"/>
      <c r="AD40" s="62"/>
      <c r="AE40" s="62"/>
      <c r="AF40" s="64"/>
      <c r="AG40" s="317">
        <v>0</v>
      </c>
      <c r="AH40" s="318"/>
      <c r="AI40" s="318"/>
      <c r="AJ40" s="60" t="s">
        <v>73</v>
      </c>
      <c r="AK40" s="317">
        <v>0</v>
      </c>
      <c r="AL40" s="318"/>
      <c r="AM40" s="318"/>
      <c r="AN40" s="60" t="s">
        <v>73</v>
      </c>
      <c r="AO40" s="319">
        <f t="shared" si="3"/>
        <v>0</v>
      </c>
      <c r="AP40" s="320"/>
      <c r="AQ40" s="60" t="s">
        <v>73</v>
      </c>
      <c r="AR40" s="304" t="s">
        <v>123</v>
      </c>
      <c r="AS40" s="305"/>
      <c r="AT40" s="305"/>
      <c r="AU40" s="305"/>
      <c r="AV40" s="306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7">
        <f>SUM(AK10:AL31)</f>
        <v>0.47916666666666669</v>
      </c>
      <c r="J41" s="308"/>
      <c r="K41" s="309"/>
      <c r="L41" s="310">
        <v>40</v>
      </c>
      <c r="M41" s="311"/>
      <c r="N41" s="57" t="s">
        <v>65</v>
      </c>
      <c r="O41" s="312">
        <f t="shared" si="2"/>
        <v>460</v>
      </c>
      <c r="P41" s="313"/>
      <c r="Q41" s="58" t="s">
        <v>65</v>
      </c>
      <c r="R41" s="52"/>
      <c r="S41" s="314" t="s">
        <v>77</v>
      </c>
      <c r="T41" s="233"/>
      <c r="U41" s="233"/>
      <c r="V41" s="233"/>
      <c r="W41" s="233"/>
      <c r="X41" s="246"/>
      <c r="Y41" s="315">
        <v>0</v>
      </c>
      <c r="Z41" s="316"/>
      <c r="AA41" s="316"/>
      <c r="AB41" s="60" t="s">
        <v>73</v>
      </c>
      <c r="AC41" s="61"/>
      <c r="AD41" s="62"/>
      <c r="AE41" s="62"/>
      <c r="AF41" s="64"/>
      <c r="AG41" s="317">
        <v>0</v>
      </c>
      <c r="AH41" s="318"/>
      <c r="AI41" s="318"/>
      <c r="AJ41" s="60" t="s">
        <v>73</v>
      </c>
      <c r="AK41" s="317">
        <v>0</v>
      </c>
      <c r="AL41" s="318"/>
      <c r="AM41" s="318"/>
      <c r="AN41" s="60" t="s">
        <v>73</v>
      </c>
      <c r="AO41" s="319">
        <f t="shared" si="3"/>
        <v>0</v>
      </c>
      <c r="AP41" s="320"/>
      <c r="AQ41" s="60" t="s">
        <v>73</v>
      </c>
      <c r="AR41" s="304" t="s">
        <v>121</v>
      </c>
      <c r="AS41" s="305"/>
      <c r="AT41" s="305"/>
      <c r="AU41" s="305"/>
      <c r="AV41" s="306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7">
        <v>0</v>
      </c>
      <c r="J42" s="308"/>
      <c r="K42" s="309"/>
      <c r="L42" s="332"/>
      <c r="M42" s="333"/>
      <c r="N42" s="334"/>
      <c r="O42" s="335"/>
      <c r="P42" s="336"/>
      <c r="Q42" s="337"/>
      <c r="R42" s="52"/>
      <c r="S42" s="314" t="s">
        <v>79</v>
      </c>
      <c r="T42" s="233"/>
      <c r="U42" s="233"/>
      <c r="V42" s="233"/>
      <c r="W42" s="233"/>
      <c r="X42" s="246"/>
      <c r="Y42" s="315">
        <v>0</v>
      </c>
      <c r="Z42" s="316"/>
      <c r="AA42" s="316"/>
      <c r="AB42" s="60" t="s">
        <v>73</v>
      </c>
      <c r="AC42" s="61"/>
      <c r="AD42" s="62"/>
      <c r="AE42" s="62"/>
      <c r="AF42" s="64"/>
      <c r="AG42" s="317">
        <v>0</v>
      </c>
      <c r="AH42" s="318"/>
      <c r="AI42" s="318"/>
      <c r="AJ42" s="60" t="s">
        <v>73</v>
      </c>
      <c r="AK42" s="317">
        <v>0</v>
      </c>
      <c r="AL42" s="318"/>
      <c r="AM42" s="318"/>
      <c r="AN42" s="60" t="s">
        <v>73</v>
      </c>
      <c r="AO42" s="319">
        <f t="shared" si="3"/>
        <v>0</v>
      </c>
      <c r="AP42" s="320"/>
      <c r="AQ42" s="60" t="s">
        <v>73</v>
      </c>
      <c r="AR42" s="304" t="s">
        <v>112</v>
      </c>
      <c r="AS42" s="305"/>
      <c r="AT42" s="305"/>
      <c r="AU42" s="305"/>
      <c r="AV42" s="306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0">
        <v>0</v>
      </c>
      <c r="J43" s="351"/>
      <c r="K43" s="352"/>
      <c r="L43" s="353"/>
      <c r="M43" s="354"/>
      <c r="N43" s="355"/>
      <c r="O43" s="356"/>
      <c r="P43" s="357"/>
      <c r="Q43" s="358"/>
      <c r="R43" s="52"/>
      <c r="S43" s="359" t="s">
        <v>81</v>
      </c>
      <c r="T43" s="225"/>
      <c r="U43" s="225"/>
      <c r="V43" s="225"/>
      <c r="W43" s="225"/>
      <c r="X43" s="269"/>
      <c r="Y43" s="360">
        <v>0</v>
      </c>
      <c r="Z43" s="361"/>
      <c r="AA43" s="361"/>
      <c r="AB43" s="66" t="s">
        <v>73</v>
      </c>
      <c r="AC43" s="67"/>
      <c r="AD43" s="68"/>
      <c r="AE43" s="68"/>
      <c r="AF43" s="69"/>
      <c r="AG43" s="362">
        <v>0</v>
      </c>
      <c r="AH43" s="363"/>
      <c r="AI43" s="363"/>
      <c r="AJ43" s="66" t="s">
        <v>73</v>
      </c>
      <c r="AK43" s="362">
        <v>0</v>
      </c>
      <c r="AL43" s="363"/>
      <c r="AM43" s="363"/>
      <c r="AN43" s="66" t="s">
        <v>73</v>
      </c>
      <c r="AO43" s="364">
        <f t="shared" si="3"/>
        <v>0</v>
      </c>
      <c r="AP43" s="365"/>
      <c r="AQ43" s="66" t="s">
        <v>73</v>
      </c>
      <c r="AR43" s="338"/>
      <c r="AS43" s="339"/>
      <c r="AT43" s="339"/>
      <c r="AU43" s="339"/>
      <c r="AV43" s="340"/>
    </row>
    <row r="44" spans="1:48" ht="15.75" customHeight="1" thickTop="1" thickBot="1">
      <c r="A44" s="4"/>
      <c r="B44" s="29"/>
      <c r="C44" s="29"/>
      <c r="D44" s="70"/>
      <c r="E44" s="341" t="s">
        <v>82</v>
      </c>
      <c r="F44" s="341"/>
      <c r="G44" s="341"/>
      <c r="H44" s="342"/>
      <c r="I44" s="343">
        <f>SUM(I36:K43)</f>
        <v>1</v>
      </c>
      <c r="J44" s="344"/>
      <c r="K44" s="345"/>
      <c r="L44" s="346"/>
      <c r="M44" s="347"/>
      <c r="N44" s="71"/>
      <c r="O44" s="348">
        <f>SUM(O36:P41)</f>
        <v>1855.6333333333332</v>
      </c>
      <c r="P44" s="349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05-11</vt:lpstr>
      <vt:lpstr>'05-11'!Print_Area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2019-11-05T13:38:12Z</dcterms:modified>
</cp:coreProperties>
</file>