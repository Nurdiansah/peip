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35" windowWidth="20055" windowHeight="2475"/>
  </bookViews>
  <sheets>
    <sheet name="18-19" sheetId="270" r:id="rId1"/>
  </sheets>
  <definedNames>
    <definedName name="_xlnm.Print_Area" localSheetId="0">'18-19'!$A$1:$AW$56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<sst xmlns="http://schemas.openxmlformats.org/spreadsheetml/2006/main" count="201" uniqueCount="138">
  <si>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</si>
  <si>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</si>
  <si>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</si>
  <si>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</si>
  <si>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</si>
  <si>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</si>
  <si>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</si>
  <si>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</si>
  <si>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</si>
  <si>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</si>
  <si>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</si>
  <si>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</si>
  <si>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</si>
  <si>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</si>
  <si>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</si>
  <si>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</si>
  <si>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</si>
  <si>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</si>
  <si>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</si>
  <si>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</si>
  <si>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</si>
  <si>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</si>
  <si>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</si>
  <si>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</si>
  <si>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</si>
  <si>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</si>
  <si>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</si>
  <si>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</si>
  <si>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</si>
  <si>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</si>
  <si>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</si>
  <si>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</si>
  <si>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</si>
  <si>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</si>
  <si>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</si>
  <si>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</si>
  <si>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</si>
  <si>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</si>
  <si>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</si>
  <si>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</si>
  <si>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</si>
  <si>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</si>
  <si>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</si>
  <si>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</si>
  <si>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</si>
  <si>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</si>
  <si>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</si>
  <si>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</si>
  <si>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</si>
  <si>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</si>
  <si>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</si>
  <si>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</si>
  <si>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</si>
  <si>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</si>
  <si>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</si>
  <si>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</si>
  <si>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</si>
  <si>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</si>
  <si>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</si>
  <si>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</si>
  <si>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</si>
  <si>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</si>
  <si>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</si>
  <si>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</si>
  <si>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</si>
  <si>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</si>
  <si>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</si>
  <si>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</si>
  <si>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</si>
  <si>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</si>
  <si>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</si>
  <si>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</si>
  <si>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</si>
  <si>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</si>
  <si>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</si>
  <si>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</si>
  <si>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</si>
  <si>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</si>
  <si>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</si>
  <si>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</si>
  <si>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</si>
  <si>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</si>
  <si>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</si>
  <si>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</si>
  <si>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</si>
  <si>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</si>
  <si>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</si>
  <si>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</si>
  <si>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</si>
  <si>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</si>
  <si>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</si>
  <si>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</si>
  <si>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</si>
  <si>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</si>
  <si>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</si>
  <si>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</si>
  <si>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</si>
  <si>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</si>
  <si>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</si>
  <si>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</si>
  <si>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</si>
  <si>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</si>
  <si>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</si>
  <si>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l;;;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</si>
  <si>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</si>
  <si>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</si>
  <si>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</si>
  <si>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</si>
  <si>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</si>
  <si>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</si>
  <si>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</si>
  <si>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</si>
  <si>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MA 32 standby di SBM export.</t>
  </si>
  <si>
    <t>18 October, 2019</t>
  </si>
  <si>
    <t>tahan posisi kapal menjauh dari hose,arus mulai berubah.</t>
  </si>
  <si>
    <t>tahan posisi kapal menjauh dari SBM expor,arus dari buritan kapal.</t>
  </si>
  <si>
    <t xml:space="preserve">lepas tali,jemput crew mega 5 dan crew NMS </t>
  </si>
  <si>
    <t>NMS 114,drop crew yang akan pulang.</t>
  </si>
  <si>
    <t>ikat di lambung kiri 114.</t>
  </si>
  <si>
    <t>jemput crew ke 114,lanjut ke belakang kanan 114,pic up belanjaan.</t>
  </si>
  <si>
    <t>selesai pic up makanan - NMS drop crew.</t>
  </si>
  <si>
    <t>NMS - mega 5,drop makanan dan crew.</t>
  </si>
  <si>
    <t>persiapan mooring,MA 32 tarik kross'oper.</t>
  </si>
  <si>
    <t>MA 32 ngapung2 di sebelah kiri tanker.</t>
  </si>
  <si>
    <t>tanker - 114,jemput makanan.</t>
  </si>
  <si>
    <t>114 - tanker,drop makanan.</t>
  </si>
  <si>
    <t>tanker - 114,drop agen,MA 32 ikat di lambung kiri 114.</t>
  </si>
  <si>
    <t>MA 32,ngapung2 di kanan tanker,jemput agen</t>
  </si>
  <si>
    <t>3.P- 55 cm=4639 lt</t>
  </si>
  <si>
    <t>3.S- 53 cm=4202 lt</t>
  </si>
  <si>
    <t>2.P- 15cm=505 lt</t>
  </si>
  <si>
    <t>2.S- 20cm=815 lt</t>
  </si>
  <si>
    <t>4.P- 99 cm=3765 lt</t>
  </si>
  <si>
    <t>4.S- 100 cm=3827 lt</t>
  </si>
  <si>
    <t>sbe, cast ooff, antar makanan dan survey line ke tanker export,</t>
  </si>
  <si>
    <t>kembali ke 114, survey line dari sbm export ke sbm storage</t>
  </si>
  <si>
    <t>draf depan=2 m/draf belakang=2.8 m</t>
  </si>
  <si>
    <t>D.T- 88 cm=1431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</si>
</sst>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20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A25" zoomScale="71" zoomScaleNormal="90" zoomScaleSheetLayoutView="71" workbookViewId="0">
      <selection activeCell="AR36" sqref="AR36:AV3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7" t="s">
        <v>113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101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 x14ac:dyDescent="0.2">
      <c r="A8" s="4"/>
      <c r="B8" s="13" t="s">
        <v>6</v>
      </c>
      <c r="C8" s="14"/>
      <c r="D8" s="14"/>
      <c r="E8" s="14"/>
      <c r="F8" s="353" t="s">
        <v>98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102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99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9</v>
      </c>
      <c r="Q10" s="347"/>
      <c r="R10" s="26" t="s">
        <v>21</v>
      </c>
      <c r="S10" s="347">
        <v>0</v>
      </c>
      <c r="T10" s="347"/>
      <c r="U10" s="27" t="s">
        <v>22</v>
      </c>
      <c r="V10" s="28"/>
      <c r="W10" s="348">
        <v>0</v>
      </c>
      <c r="X10" s="349"/>
      <c r="Y10" s="350">
        <v>8.3333333333333332E-3</v>
      </c>
      <c r="Z10" s="351"/>
      <c r="AA10" s="350"/>
      <c r="AB10" s="351"/>
      <c r="AC10" s="350"/>
      <c r="AD10" s="351"/>
      <c r="AE10" s="350"/>
      <c r="AF10" s="351"/>
      <c r="AG10" s="350"/>
      <c r="AH10" s="351"/>
      <c r="AI10" s="350"/>
      <c r="AJ10" s="351"/>
      <c r="AK10" s="350">
        <v>8.3333333333333332E-3</v>
      </c>
      <c r="AL10" s="352"/>
      <c r="AM10" s="236" t="s">
        <v>112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52">
        <v>8.3333333333333332E-3</v>
      </c>
      <c r="X11" s="262"/>
      <c r="Y11" s="233">
        <v>0.15416666666666667</v>
      </c>
      <c r="Z11" s="234"/>
      <c r="AA11" s="233"/>
      <c r="AB11" s="234"/>
      <c r="AC11" s="248">
        <v>0.125</v>
      </c>
      <c r="AD11" s="249"/>
      <c r="AE11" s="248">
        <v>1.7361111111111112E-2</v>
      </c>
      <c r="AF11" s="249"/>
      <c r="AG11" s="248">
        <v>3.472222222222222E-3</v>
      </c>
      <c r="AH11" s="249"/>
      <c r="AI11" s="233"/>
      <c r="AJ11" s="234"/>
      <c r="AK11" s="233"/>
      <c r="AL11" s="235"/>
      <c r="AM11" s="236" t="s">
        <v>114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52">
        <v>0.15416666666666667</v>
      </c>
      <c r="X12" s="262"/>
      <c r="Y12" s="233">
        <v>0.25416666666666665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9.9999999999999992E-2</v>
      </c>
      <c r="AL12" s="235"/>
      <c r="AM12" s="236" t="s">
        <v>112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52">
        <v>0.25416666666666665</v>
      </c>
      <c r="X13" s="250"/>
      <c r="Y13" s="233">
        <v>0.35000000000000003</v>
      </c>
      <c r="Z13" s="246"/>
      <c r="AA13" s="233"/>
      <c r="AB13" s="234"/>
      <c r="AC13" s="248">
        <v>8.3333333333333329E-2</v>
      </c>
      <c r="AD13" s="249"/>
      <c r="AE13" s="233">
        <v>8.3333333333333332E-3</v>
      </c>
      <c r="AF13" s="234"/>
      <c r="AG13" s="233">
        <v>4.1666666666666666E-3</v>
      </c>
      <c r="AH13" s="234"/>
      <c r="AI13" s="266"/>
      <c r="AJ13" s="266"/>
      <c r="AK13" s="267"/>
      <c r="AL13" s="268"/>
      <c r="AM13" s="236" t="s">
        <v>115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 x14ac:dyDescent="0.2">
      <c r="A14" s="4"/>
      <c r="B14" s="304" t="s">
        <v>29</v>
      </c>
      <c r="C14" s="286"/>
      <c r="D14" s="286"/>
      <c r="E14" s="286"/>
      <c r="F14" s="305" t="s">
        <v>111</v>
      </c>
      <c r="G14" s="306"/>
      <c r="H14" s="306"/>
      <c r="I14" s="307"/>
      <c r="J14" s="308" t="s">
        <v>110</v>
      </c>
      <c r="K14" s="306"/>
      <c r="L14" s="306"/>
      <c r="M14" s="307"/>
      <c r="N14" s="305" t="s">
        <v>108</v>
      </c>
      <c r="O14" s="306"/>
      <c r="P14" s="306"/>
      <c r="Q14" s="307"/>
      <c r="R14" s="308" t="s">
        <v>106</v>
      </c>
      <c r="S14" s="306"/>
      <c r="T14" s="306"/>
      <c r="U14" s="307"/>
      <c r="V14" s="99"/>
      <c r="W14" s="252">
        <v>0.35000000000000003</v>
      </c>
      <c r="X14" s="250"/>
      <c r="Y14" s="233">
        <v>0.3833333333333333</v>
      </c>
      <c r="Z14" s="246"/>
      <c r="AA14" s="233"/>
      <c r="AB14" s="234"/>
      <c r="AC14" s="233">
        <v>2.6388888888888889E-2</v>
      </c>
      <c r="AD14" s="234"/>
      <c r="AE14" s="231">
        <v>4.1666666666666666E-3</v>
      </c>
      <c r="AF14" s="232"/>
      <c r="AG14" s="231">
        <v>2.7777777777777779E-3</v>
      </c>
      <c r="AH14" s="232"/>
      <c r="AI14" s="233"/>
      <c r="AJ14" s="234"/>
      <c r="AK14" s="233"/>
      <c r="AL14" s="235"/>
      <c r="AM14" s="236" t="s">
        <v>116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 x14ac:dyDescent="0.2">
      <c r="A15" s="4"/>
      <c r="B15" s="299" t="s">
        <v>30</v>
      </c>
      <c r="C15" s="283"/>
      <c r="D15" s="283"/>
      <c r="E15" s="300"/>
      <c r="F15" s="301" t="s">
        <v>109</v>
      </c>
      <c r="G15" s="302"/>
      <c r="H15" s="302"/>
      <c r="I15" s="303"/>
      <c r="J15" s="301" t="s">
        <v>104</v>
      </c>
      <c r="K15" s="302"/>
      <c r="L15" s="302"/>
      <c r="M15" s="303"/>
      <c r="N15" s="301" t="s">
        <v>105</v>
      </c>
      <c r="O15" s="302"/>
      <c r="P15" s="302"/>
      <c r="Q15" s="303"/>
      <c r="R15" s="301" t="s">
        <v>107</v>
      </c>
      <c r="S15" s="302"/>
      <c r="T15" s="302"/>
      <c r="U15" s="303"/>
      <c r="V15" s="99"/>
      <c r="W15" s="252">
        <v>0.3833333333333333</v>
      </c>
      <c r="X15" s="250"/>
      <c r="Y15" s="233">
        <v>0.4375</v>
      </c>
      <c r="Z15" s="246"/>
      <c r="AA15" s="233"/>
      <c r="AB15" s="234"/>
      <c r="AC15" s="233">
        <v>4.3750000000000004E-2</v>
      </c>
      <c r="AD15" s="234"/>
      <c r="AE15" s="233">
        <v>6.9444444444444441E-3</v>
      </c>
      <c r="AF15" s="234"/>
      <c r="AG15" s="233">
        <v>3.472222222222222E-3</v>
      </c>
      <c r="AH15" s="234"/>
      <c r="AI15" s="233"/>
      <c r="AJ15" s="234"/>
      <c r="AK15" s="233"/>
      <c r="AL15" s="235"/>
      <c r="AM15" s="298" t="s">
        <v>117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 x14ac:dyDescent="0.25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52">
        <v>0.4375</v>
      </c>
      <c r="X16" s="246"/>
      <c r="Y16" s="233">
        <v>0.52083333333333337</v>
      </c>
      <c r="Z16" s="246"/>
      <c r="AA16" s="233"/>
      <c r="AB16" s="234"/>
      <c r="AC16" s="233"/>
      <c r="AD16" s="234"/>
      <c r="AE16" s="233"/>
      <c r="AF16" s="234"/>
      <c r="AG16" s="233"/>
      <c r="AH16" s="234"/>
      <c r="AI16" s="233"/>
      <c r="AJ16" s="234"/>
      <c r="AK16" s="233">
        <v>8.3333333333333329E-2</v>
      </c>
      <c r="AL16" s="235"/>
      <c r="AM16" s="236" t="s">
        <v>118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52">
        <v>0.52083333333333337</v>
      </c>
      <c r="X17" s="246"/>
      <c r="Y17" s="233">
        <v>0.5541666666666667</v>
      </c>
      <c r="Z17" s="246"/>
      <c r="AA17" s="233"/>
      <c r="AB17" s="234"/>
      <c r="AC17" s="248">
        <v>2.2222222222222223E-2</v>
      </c>
      <c r="AD17" s="249"/>
      <c r="AE17" s="248">
        <v>6.9444444444444441E-3</v>
      </c>
      <c r="AF17" s="249"/>
      <c r="AG17" s="248">
        <v>4.1666666666666666E-3</v>
      </c>
      <c r="AH17" s="249"/>
      <c r="AI17" s="233"/>
      <c r="AJ17" s="234"/>
      <c r="AK17" s="233"/>
      <c r="AL17" s="235"/>
      <c r="AM17" s="236" t="s">
        <v>119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52">
        <v>0.5541666666666667</v>
      </c>
      <c r="X18" s="246"/>
      <c r="Y18" s="233">
        <v>0.56666666666666665</v>
      </c>
      <c r="Z18" s="246"/>
      <c r="AA18" s="233"/>
      <c r="AB18" s="234"/>
      <c r="AC18" s="233">
        <v>7.6388888888888886E-3</v>
      </c>
      <c r="AD18" s="234"/>
      <c r="AE18" s="248">
        <v>2.7777777777777779E-3</v>
      </c>
      <c r="AF18" s="249"/>
      <c r="AG18" s="248">
        <v>2.0833333333333333E-3</v>
      </c>
      <c r="AH18" s="249"/>
      <c r="AI18" s="233"/>
      <c r="AJ18" s="234"/>
      <c r="AK18" s="233"/>
      <c r="AL18" s="235"/>
      <c r="AM18" s="236" t="s">
        <v>120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 x14ac:dyDescent="0.25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52">
        <v>0.56666666666666665</v>
      </c>
      <c r="X19" s="246"/>
      <c r="Y19" s="233">
        <v>0.60833333333333328</v>
      </c>
      <c r="Z19" s="246"/>
      <c r="AA19" s="233"/>
      <c r="AB19" s="234"/>
      <c r="AC19" s="231">
        <v>3.5416666666666666E-2</v>
      </c>
      <c r="AD19" s="232"/>
      <c r="AE19" s="233">
        <v>3.472222222222222E-3</v>
      </c>
      <c r="AF19" s="234"/>
      <c r="AG19" s="233">
        <v>2.7777777777777779E-3</v>
      </c>
      <c r="AH19" s="234"/>
      <c r="AI19" s="233"/>
      <c r="AJ19" s="234"/>
      <c r="AK19" s="233"/>
      <c r="AL19" s="235"/>
      <c r="AM19" s="236" t="s">
        <v>121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 x14ac:dyDescent="0.2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52">
        <v>0.60833333333333328</v>
      </c>
      <c r="X20" s="246"/>
      <c r="Y20" s="233">
        <v>0.62916666666666665</v>
      </c>
      <c r="Z20" s="234"/>
      <c r="AA20" s="248"/>
      <c r="AB20" s="249"/>
      <c r="AC20" s="233"/>
      <c r="AD20" s="234"/>
      <c r="AE20" s="248"/>
      <c r="AF20" s="249"/>
      <c r="AG20" s="248"/>
      <c r="AH20" s="249"/>
      <c r="AI20" s="248"/>
      <c r="AJ20" s="249"/>
      <c r="AK20" s="248">
        <v>2.0833333333333332E-2</v>
      </c>
      <c r="AL20" s="284"/>
      <c r="AM20" s="236" t="s">
        <v>112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 x14ac:dyDescent="0.2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9">
        <f t="shared" ref="S21:S25" si="0">M21+P21</f>
        <v>0</v>
      </c>
      <c r="T21" s="270"/>
      <c r="U21" s="271"/>
      <c r="V21" s="102"/>
      <c r="W21" s="252">
        <v>0.62916666666666665</v>
      </c>
      <c r="X21" s="234"/>
      <c r="Y21" s="233">
        <v>0.70000000000000007</v>
      </c>
      <c r="Z21" s="246"/>
      <c r="AA21" s="233"/>
      <c r="AB21" s="234"/>
      <c r="AC21" s="233">
        <v>5.6944444444444443E-2</v>
      </c>
      <c r="AD21" s="234"/>
      <c r="AE21" s="248">
        <v>8.3333333333333332E-3</v>
      </c>
      <c r="AF21" s="249"/>
      <c r="AG21" s="248">
        <v>5.5555555555555558E-3</v>
      </c>
      <c r="AH21" s="249"/>
      <c r="AI21" s="233"/>
      <c r="AJ21" s="234"/>
      <c r="AK21" s="233"/>
      <c r="AL21" s="235"/>
      <c r="AM21" s="236" t="s">
        <v>122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 x14ac:dyDescent="0.2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9">
        <f t="shared" si="0"/>
        <v>0</v>
      </c>
      <c r="T22" s="270"/>
      <c r="U22" s="271"/>
      <c r="V22" s="103"/>
      <c r="W22" s="252">
        <v>0.70000000000000007</v>
      </c>
      <c r="X22" s="234"/>
      <c r="Y22" s="233">
        <v>0.71250000000000002</v>
      </c>
      <c r="Z22" s="246"/>
      <c r="AA22" s="233"/>
      <c r="AB22" s="234"/>
      <c r="AC22" s="233">
        <v>8.3333333333333332E-3</v>
      </c>
      <c r="AD22" s="234"/>
      <c r="AE22" s="248">
        <v>2.0833333333333333E-3</v>
      </c>
      <c r="AF22" s="249"/>
      <c r="AG22" s="248">
        <v>2.0833333333333333E-3</v>
      </c>
      <c r="AH22" s="249"/>
      <c r="AI22" s="233"/>
      <c r="AJ22" s="234"/>
      <c r="AK22" s="233"/>
      <c r="AL22" s="235"/>
      <c r="AM22" s="236" t="s">
        <v>123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 x14ac:dyDescent="0.2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9">
        <f t="shared" si="0"/>
        <v>0</v>
      </c>
      <c r="T23" s="270"/>
      <c r="U23" s="271"/>
      <c r="V23" s="103"/>
      <c r="W23" s="252">
        <v>0.71250000000000002</v>
      </c>
      <c r="X23" s="234"/>
      <c r="Y23" s="233">
        <v>0.73749999999999993</v>
      </c>
      <c r="Z23" s="246"/>
      <c r="AA23" s="233"/>
      <c r="AB23" s="234"/>
      <c r="AC23" s="233">
        <v>1.8749999999999999E-2</v>
      </c>
      <c r="AD23" s="234"/>
      <c r="AE23" s="233">
        <v>3.472222222222222E-3</v>
      </c>
      <c r="AF23" s="234"/>
      <c r="AG23" s="248">
        <v>2.7777777777777779E-3</v>
      </c>
      <c r="AH23" s="249"/>
      <c r="AI23" s="233"/>
      <c r="AJ23" s="234"/>
      <c r="AK23" s="233"/>
      <c r="AL23" s="235"/>
      <c r="AM23" s="236" t="s">
        <v>124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 x14ac:dyDescent="0.2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9">
        <v>0</v>
      </c>
      <c r="T24" s="270"/>
      <c r="U24" s="271"/>
      <c r="V24" s="103"/>
      <c r="W24" s="252">
        <v>0.73749999999999993</v>
      </c>
      <c r="X24" s="246"/>
      <c r="Y24" s="233">
        <v>0.77083333333333337</v>
      </c>
      <c r="Z24" s="246"/>
      <c r="AA24" s="233"/>
      <c r="AB24" s="234"/>
      <c r="AC24" s="233">
        <v>2.7083333333333334E-2</v>
      </c>
      <c r="AD24" s="234"/>
      <c r="AE24" s="231">
        <v>3.472222222222222E-3</v>
      </c>
      <c r="AF24" s="232"/>
      <c r="AG24" s="233">
        <v>2.7777777777777779E-3</v>
      </c>
      <c r="AH24" s="234"/>
      <c r="AI24" s="266"/>
      <c r="AJ24" s="266"/>
      <c r="AK24" s="267"/>
      <c r="AL24" s="268"/>
      <c r="AM24" s="236" t="s">
        <v>125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 x14ac:dyDescent="0.25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52">
        <v>0.77083333333333337</v>
      </c>
      <c r="X25" s="250"/>
      <c r="Y25" s="233">
        <v>0.79583333333333339</v>
      </c>
      <c r="Z25" s="246"/>
      <c r="AA25" s="233"/>
      <c r="AB25" s="234"/>
      <c r="AC25" s="233">
        <v>1.1805555555555555E-2</v>
      </c>
      <c r="AD25" s="234"/>
      <c r="AE25" s="233">
        <v>8.3333333333333332E-3</v>
      </c>
      <c r="AF25" s="234"/>
      <c r="AG25" s="248">
        <v>4.8611111111111112E-3</v>
      </c>
      <c r="AH25" s="249"/>
      <c r="AI25" s="233"/>
      <c r="AJ25" s="234"/>
      <c r="AK25" s="233"/>
      <c r="AL25" s="235"/>
      <c r="AM25" s="236" t="s">
        <v>127</v>
      </c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3" t="s">
        <v>44</v>
      </c>
      <c r="T26" s="264"/>
      <c r="U26" s="265"/>
      <c r="V26" s="103"/>
      <c r="W26" s="252">
        <v>0.79583333333333339</v>
      </c>
      <c r="X26" s="246"/>
      <c r="Y26" s="262">
        <v>0.8208333333333333</v>
      </c>
      <c r="Z26" s="250"/>
      <c r="AA26" s="233"/>
      <c r="AB26" s="234"/>
      <c r="AC26" s="233">
        <v>1.8055555555555557E-2</v>
      </c>
      <c r="AD26" s="234"/>
      <c r="AE26" s="231">
        <v>3.472222222222222E-3</v>
      </c>
      <c r="AF26" s="232"/>
      <c r="AG26" s="233">
        <v>3.472222222222222E-3</v>
      </c>
      <c r="AH26" s="234"/>
      <c r="AI26" s="233"/>
      <c r="AJ26" s="234"/>
      <c r="AK26" s="233"/>
      <c r="AL26" s="235"/>
      <c r="AM26" s="236" t="s">
        <v>126</v>
      </c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 x14ac:dyDescent="0.2">
      <c r="A27" s="4"/>
      <c r="B27" s="35">
        <v>1</v>
      </c>
      <c r="C27" s="253" t="s">
        <v>45</v>
      </c>
      <c r="D27" s="254"/>
      <c r="E27" s="254"/>
      <c r="F27" s="254"/>
      <c r="G27" s="254"/>
      <c r="H27" s="254"/>
      <c r="I27" s="254"/>
      <c r="J27" s="254"/>
      <c r="K27" s="254"/>
      <c r="L27" s="255"/>
      <c r="M27" s="256">
        <v>0</v>
      </c>
      <c r="N27" s="257"/>
      <c r="O27" s="258"/>
      <c r="P27" s="256">
        <v>0</v>
      </c>
      <c r="Q27" s="257"/>
      <c r="R27" s="258"/>
      <c r="S27" s="259">
        <f t="shared" ref="S27:S32" si="1">M27+P27</f>
        <v>0</v>
      </c>
      <c r="T27" s="260"/>
      <c r="U27" s="261"/>
      <c r="V27" s="29"/>
      <c r="W27" s="252">
        <v>0.8208333333333333</v>
      </c>
      <c r="X27" s="246"/>
      <c r="Y27" s="262">
        <v>0.9375</v>
      </c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>
        <v>0.11666666666666665</v>
      </c>
      <c r="AL27" s="234"/>
      <c r="AM27" s="236" t="s">
        <v>118</v>
      </c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 x14ac:dyDescent="0.2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52">
        <v>0.9375</v>
      </c>
      <c r="X28" s="250"/>
      <c r="Y28" s="233">
        <v>0.97916666666666663</v>
      </c>
      <c r="Z28" s="246"/>
      <c r="AA28" s="233"/>
      <c r="AB28" s="234"/>
      <c r="AC28" s="233">
        <v>3.8194444444444441E-2</v>
      </c>
      <c r="AD28" s="234"/>
      <c r="AE28" s="248">
        <v>1.3888888888888889E-3</v>
      </c>
      <c r="AF28" s="249"/>
      <c r="AG28" s="233">
        <v>2.0833333333333333E-3</v>
      </c>
      <c r="AH28" s="234"/>
      <c r="AI28" s="233"/>
      <c r="AJ28" s="234"/>
      <c r="AK28" s="233"/>
      <c r="AL28" s="235"/>
      <c r="AM28" s="236" t="s">
        <v>134</v>
      </c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 x14ac:dyDescent="0.2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>
        <v>0.97916666666666663</v>
      </c>
      <c r="X29" s="246"/>
      <c r="Y29" s="250">
        <v>1</v>
      </c>
      <c r="Z29" s="250"/>
      <c r="AA29" s="233"/>
      <c r="AB29" s="234"/>
      <c r="AC29" s="233">
        <v>1.7361111111111112E-2</v>
      </c>
      <c r="AD29" s="234"/>
      <c r="AE29" s="248">
        <v>2.0833333333333333E-3</v>
      </c>
      <c r="AF29" s="249"/>
      <c r="AG29" s="233">
        <v>1.3888888888888889E-3</v>
      </c>
      <c r="AH29" s="234"/>
      <c r="AI29" s="233"/>
      <c r="AJ29" s="234"/>
      <c r="AK29" s="233"/>
      <c r="AL29" s="235"/>
      <c r="AM29" s="236" t="s">
        <v>135</v>
      </c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 x14ac:dyDescent="0.2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 x14ac:dyDescent="0.2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 x14ac:dyDescent="0.25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0.54027777777777775</v>
      </c>
      <c r="AD32" s="203"/>
      <c r="AE32" s="229">
        <f>SUM(AE10:AF31)</f>
        <v>8.2638888888888887E-2</v>
      </c>
      <c r="AF32" s="230"/>
      <c r="AG32" s="202">
        <f>SUM(AG10:AH31)</f>
        <v>4.7916666666666663E-2</v>
      </c>
      <c r="AH32" s="203"/>
      <c r="AI32" s="202">
        <f>SUM(AI10:AJ31)</f>
        <v>0</v>
      </c>
      <c r="AJ32" s="203"/>
      <c r="AK32" s="202">
        <f>SUM(AK10:AL31)</f>
        <v>0.32916666666666666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21340</v>
      </c>
      <c r="Z36" s="190"/>
      <c r="AA36" s="190"/>
      <c r="AB36" s="53" t="s">
        <v>65</v>
      </c>
      <c r="AC36" s="191">
        <v>2156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19184</v>
      </c>
      <c r="AP36" s="198"/>
      <c r="AQ36" s="53" t="s">
        <v>65</v>
      </c>
      <c r="AR36" s="199" t="s">
        <v>137</v>
      </c>
      <c r="AS36" s="200"/>
      <c r="AT36" s="200"/>
      <c r="AU36" s="200"/>
      <c r="AV36" s="201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0.54027777777777775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1555.9999999999998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36</v>
      </c>
      <c r="Z37" s="168"/>
      <c r="AA37" s="168"/>
      <c r="AB37" s="59" t="s">
        <v>65</v>
      </c>
      <c r="AC37" s="169">
        <v>4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32</v>
      </c>
      <c r="AP37" s="174"/>
      <c r="AQ37" s="59" t="s">
        <v>65</v>
      </c>
      <c r="AR37" s="123" t="s">
        <v>128</v>
      </c>
      <c r="AS37" s="124"/>
      <c r="AT37" s="124"/>
      <c r="AU37" s="124"/>
      <c r="AV37" s="125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8.2638888888888887E-2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176.51666666666668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 t="s">
        <v>129</v>
      </c>
      <c r="AS38" s="124"/>
      <c r="AT38" s="124"/>
      <c r="AU38" s="124"/>
      <c r="AV38" s="125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4.7916666666666663E-2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102.35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 t="s">
        <v>130</v>
      </c>
      <c r="AS39" s="124"/>
      <c r="AT39" s="124"/>
      <c r="AU39" s="124"/>
      <c r="AV39" s="125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 t="s">
        <v>131</v>
      </c>
      <c r="AS40" s="124"/>
      <c r="AT40" s="124"/>
      <c r="AU40" s="124"/>
      <c r="AV40" s="125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0.32916666666666666</v>
      </c>
      <c r="J41" s="147"/>
      <c r="K41" s="148"/>
      <c r="L41" s="160">
        <v>40</v>
      </c>
      <c r="M41" s="161"/>
      <c r="N41" s="57" t="s">
        <v>65</v>
      </c>
      <c r="O41" s="162">
        <f t="shared" si="2"/>
        <v>316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 t="s">
        <v>132</v>
      </c>
      <c r="AS41" s="124"/>
      <c r="AT41" s="124"/>
      <c r="AU41" s="124"/>
      <c r="AV41" s="125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 t="s">
        <v>133</v>
      </c>
      <c r="AS42" s="124"/>
      <c r="AT42" s="124"/>
      <c r="AU42" s="124"/>
      <c r="AV42" s="125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 t="s">
        <v>136</v>
      </c>
      <c r="AS43" s="110"/>
      <c r="AT43" s="110"/>
      <c r="AU43" s="110"/>
      <c r="AV43" s="111"/>
    </row>
    <row r="44" spans="1:48" ht="15.75" customHeight="1" thickTop="1" thickBot="1" x14ac:dyDescent="0.25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2150.8666666666663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103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18-19</vt:lpstr>
      <vt:lpstr>'18-19'!Print_Area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USER</cp:lastModifiedBy>
  <cp:lastPrinted>2019-10-21T02:00:50Z</cp:lastPrinted>
  <dcterms:created xsi:type="dcterms:W3CDTF">2017-04-30T16:06:17Z</dcterms:created>
  <dcterms:modified xsi:type="dcterms:W3CDTF">2019-10-21T02:01:23Z</dcterms:modified>
</cp:coreProperties>
</file>