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5-19" sheetId="270" r:id="rId1"/>
  </sheets>
  <definedNames>
    <definedName name="_xlnm.Print_Area" localSheetId="0">'25-19'!$A$1:$AW$56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<sst xmlns="http://schemas.openxmlformats.org/spreadsheetml/2006/main" count="196" uniqueCount="136">
  <si>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</si>
  <si>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</si>
  <si>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</si>
  <si>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</si>
  <si>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</si>
  <si>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</si>
  <si>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</si>
  <si>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</si>
  <si>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</si>
  <si>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</si>
  <si>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</si>
  <si>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</si>
  <si>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</si>
  <si>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</si>
  <si>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</si>
  <si>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</si>
  <si>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</si>
  <si>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</si>
  <si>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</si>
  <si>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</si>
  <si>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</si>
  <si>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</si>
  <si>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</si>
  <si>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</si>
  <si>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</si>
  <si>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</si>
  <si>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</si>
  <si>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</si>
  <si>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</si>
  <si>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</si>
  <si>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</si>
  <si>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</si>
  <si>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</si>
  <si>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</si>
  <si>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</si>
  <si>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</si>
  <si>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</si>
  <si>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</si>
  <si>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</si>
  <si>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</si>
  <si>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</si>
  <si>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</si>
  <si>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</si>
  <si>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</si>
  <si>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</si>
  <si>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</si>
  <si>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</si>
  <si>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</si>
  <si>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</si>
  <si>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</si>
  <si>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</si>
  <si>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</si>
  <si>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</si>
  <si>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</si>
  <si>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</si>
  <si>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</si>
  <si>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</si>
  <si>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</si>
  <si>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</si>
  <si>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</si>
  <si>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</si>
  <si>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</si>
  <si>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</si>
  <si>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</si>
  <si>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</si>
  <si>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</si>
  <si>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</si>
  <si>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</si>
  <si>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</si>
  <si>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</si>
  <si>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</si>
  <si>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</si>
  <si>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</si>
  <si>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</si>
  <si>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</si>
  <si>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</si>
  <si>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</si>
  <si>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</si>
  <si>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</si>
  <si>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</si>
  <si>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</si>
  <si>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</si>
  <si>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</si>
  <si>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</si>
  <si>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</si>
  <si>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</si>
  <si>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</si>
  <si>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</si>
  <si>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</si>
  <si>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</si>
  <si>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</si>
  <si>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</si>
  <si>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</si>
  <si>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</si>
  <si>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</si>
  <si>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</si>
  <si>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</si>
  <si>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</si>
  <si>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LHT Mitra Anugerah 32</t>
  </si>
  <si>
    <t>ANDI MUHAMMAD AMRI</t>
  </si>
  <si>
    <t>HERMAN</t>
  </si>
  <si>
    <t>Cinta Terminal ( SPM export )</t>
  </si>
  <si>
    <t>PT.EKA NURI/SAMUDERA INDO</t>
  </si>
  <si>
    <t>Calm sea / 0.0/0,5 m</t>
  </si>
  <si>
    <t>Calm sea / 1.0-1.5 m</t>
  </si>
  <si>
    <t>E 0.3-0.7 Knot</t>
  </si>
  <si>
    <t>Calm sea/ 0.0-0.6 m</t>
  </si>
  <si>
    <t>E 0.2-06 Knot</t>
  </si>
  <si>
    <t>Calm sea / 0.0-0.6 m</t>
  </si>
  <si>
    <t>E 0.0-07 Knot</t>
  </si>
  <si>
    <t>E 00-06 Knot</t>
  </si>
  <si>
    <t>2.P- 14 cm=506 lt</t>
  </si>
  <si>
    <t>2.S- 21 cm=990 lt</t>
  </si>
  <si>
    <t>draf depan=2.50 m/draf belakang=2.80 m</t>
  </si>
  <si>
    <t>servis mooring line selesai lifting tanker</t>
  </si>
  <si>
    <t>tahan posisi kapal menjau dari sbm,arus balik k[pl terputar</t>
  </si>
  <si>
    <t>leapas tali mooring jemput crew crew change ke 114</t>
  </si>
  <si>
    <t>jemput crew brilian</t>
  </si>
  <si>
    <t>drop all crew di 114</t>
  </si>
  <si>
    <t>pic up material di 114</t>
  </si>
  <si>
    <t>pic crew 10 orang, tujuan pabelokan</t>
  </si>
  <si>
    <t>berangkat ke pabelokan</t>
  </si>
  <si>
    <t>shifting position ke fuel dock,</t>
  </si>
  <si>
    <t>25 October, 2019</t>
  </si>
  <si>
    <t>D.T- 65 cm=1169 lt</t>
  </si>
  <si>
    <t>3.P -31 cm=1934 lt</t>
  </si>
  <si>
    <t>3.S - 41 cm=2887 lt</t>
  </si>
  <si>
    <t>4.P- 155 cm=6556 lt</t>
  </si>
  <si>
    <t>4.S- 150 cm=6278 lt</t>
  </si>
  <si>
    <t xml:space="preserve">tiba dipabelokan, drop 10 personil </t>
  </si>
  <si>
    <t xml:space="preserve">drop + pic up material,stby di pabelokan port </t>
  </si>
  <si>
    <t>stby di pabelokan port, bunker FO dan FW</t>
  </si>
  <si>
    <t>Cast off,Pambelokank tujuan 114.Cinta terminal</t>
  </si>
  <si>
    <t>tiba di 114.drop material+pic up provition+jemput crew di 114.</t>
  </si>
  <si>
    <t>Lanjut ke SBM export.</t>
  </si>
  <si>
    <t>MA 32 standby diMooring Line SBM export.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</si>
</sst>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139689</xdr:colOff>
      <xdr:row>45</xdr:row>
      <xdr:rowOff>20794</xdr:rowOff>
    </xdr:from>
    <xdr:to>
      <xdr:col>7</xdr:col>
      <xdr:colOff>191834</xdr:colOff>
      <xdr:row>51</xdr:row>
      <xdr:rowOff>48576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9689" y="9371393"/>
          <a:ext cx="2654751" cy="11949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5" zoomScale="71" zoomScaleNormal="90" zoomScaleSheetLayoutView="71" workbookViewId="0">
      <selection activeCell="AM30" sqref="AM30:AV30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123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101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98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102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99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9</v>
      </c>
      <c r="Q10" s="134"/>
      <c r="R10" s="26" t="s">
        <v>21</v>
      </c>
      <c r="S10" s="134">
        <v>10</v>
      </c>
      <c r="T10" s="134"/>
      <c r="U10" s="27" t="s">
        <v>22</v>
      </c>
      <c r="V10" s="28"/>
      <c r="W10" s="135">
        <v>0</v>
      </c>
      <c r="X10" s="136"/>
      <c r="Y10" s="137">
        <v>4.5833333333333337E-2</v>
      </c>
      <c r="Z10" s="138"/>
      <c r="AA10" s="137"/>
      <c r="AB10" s="138"/>
      <c r="AC10" s="137">
        <v>4.2361111111111106E-2</v>
      </c>
      <c r="AD10" s="138"/>
      <c r="AE10" s="137">
        <v>2.0833333333333333E-3</v>
      </c>
      <c r="AF10" s="138"/>
      <c r="AG10" s="137">
        <v>1.3888888888888889E-3</v>
      </c>
      <c r="AH10" s="138"/>
      <c r="AI10" s="137"/>
      <c r="AJ10" s="138"/>
      <c r="AK10" s="137"/>
      <c r="AL10" s="139"/>
      <c r="AM10" s="157" t="s">
        <v>114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76">
        <v>4.5833333333333337E-2</v>
      </c>
      <c r="X11" s="180"/>
      <c r="Y11" s="161">
        <v>0.31666666666666665</v>
      </c>
      <c r="Z11" s="179"/>
      <c r="AA11" s="161"/>
      <c r="AB11" s="179"/>
      <c r="AC11" s="183">
        <v>0.24374999999999999</v>
      </c>
      <c r="AD11" s="184"/>
      <c r="AE11" s="183">
        <v>2.0833333333333332E-2</v>
      </c>
      <c r="AF11" s="184"/>
      <c r="AG11" s="183">
        <v>6.2499999999999995E-3</v>
      </c>
      <c r="AH11" s="184"/>
      <c r="AI11" s="161"/>
      <c r="AJ11" s="179"/>
      <c r="AK11" s="161"/>
      <c r="AL11" s="162"/>
      <c r="AM11" s="157" t="s">
        <v>115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76">
        <v>0.31666666666666665</v>
      </c>
      <c r="X12" s="180"/>
      <c r="Y12" s="161">
        <v>0.32500000000000001</v>
      </c>
      <c r="Z12" s="178"/>
      <c r="AA12" s="161"/>
      <c r="AB12" s="179"/>
      <c r="AC12" s="161">
        <v>2.7777777777777779E-3</v>
      </c>
      <c r="AD12" s="179"/>
      <c r="AE12" s="161">
        <v>3.472222222222222E-3</v>
      </c>
      <c r="AF12" s="179"/>
      <c r="AG12" s="161">
        <v>2.0833333333333333E-3</v>
      </c>
      <c r="AH12" s="179"/>
      <c r="AI12" s="181"/>
      <c r="AJ12" s="182"/>
      <c r="AK12" s="161"/>
      <c r="AL12" s="162"/>
      <c r="AM12" s="157" t="s">
        <v>116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0.32500000000000001</v>
      </c>
      <c r="X13" s="177"/>
      <c r="Y13" s="161">
        <v>0.35000000000000003</v>
      </c>
      <c r="Z13" s="178"/>
      <c r="AA13" s="161"/>
      <c r="AB13" s="179"/>
      <c r="AC13" s="183">
        <v>2.0833333333333332E-2</v>
      </c>
      <c r="AD13" s="184"/>
      <c r="AE13" s="161">
        <v>2.0833333333333333E-3</v>
      </c>
      <c r="AF13" s="179"/>
      <c r="AG13" s="161">
        <v>2.0833333333333333E-3</v>
      </c>
      <c r="AH13" s="179"/>
      <c r="AI13" s="185"/>
      <c r="AJ13" s="185"/>
      <c r="AK13" s="186"/>
      <c r="AL13" s="187"/>
      <c r="AM13" s="157" t="s">
        <v>117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5" t="s">
        <v>29</v>
      </c>
      <c r="C14" s="196"/>
      <c r="D14" s="196"/>
      <c r="E14" s="196"/>
      <c r="F14" s="197" t="s">
        <v>110</v>
      </c>
      <c r="G14" s="198"/>
      <c r="H14" s="198"/>
      <c r="I14" s="199"/>
      <c r="J14" s="200" t="s">
        <v>109</v>
      </c>
      <c r="K14" s="198"/>
      <c r="L14" s="198"/>
      <c r="M14" s="199"/>
      <c r="N14" s="197" t="s">
        <v>107</v>
      </c>
      <c r="O14" s="198"/>
      <c r="P14" s="198"/>
      <c r="Q14" s="199"/>
      <c r="R14" s="200" t="s">
        <v>105</v>
      </c>
      <c r="S14" s="198"/>
      <c r="T14" s="198"/>
      <c r="U14" s="199"/>
      <c r="V14" s="99"/>
      <c r="W14" s="176">
        <v>0.35000000000000003</v>
      </c>
      <c r="X14" s="177"/>
      <c r="Y14" s="161">
        <v>0.35833333333333334</v>
      </c>
      <c r="Z14" s="178"/>
      <c r="AA14" s="161"/>
      <c r="AB14" s="179"/>
      <c r="AC14" s="161">
        <v>6.2499999999999995E-3</v>
      </c>
      <c r="AD14" s="179"/>
      <c r="AE14" s="181">
        <v>1.3888888888888889E-3</v>
      </c>
      <c r="AF14" s="182"/>
      <c r="AG14" s="181">
        <v>6.9444444444444447E-4</v>
      </c>
      <c r="AH14" s="182"/>
      <c r="AI14" s="161"/>
      <c r="AJ14" s="179"/>
      <c r="AK14" s="161"/>
      <c r="AL14" s="162"/>
      <c r="AM14" s="157" t="s">
        <v>118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89" t="s">
        <v>30</v>
      </c>
      <c r="C15" s="190"/>
      <c r="D15" s="190"/>
      <c r="E15" s="191"/>
      <c r="F15" s="192" t="s">
        <v>108</v>
      </c>
      <c r="G15" s="193"/>
      <c r="H15" s="193"/>
      <c r="I15" s="194"/>
      <c r="J15" s="192" t="s">
        <v>103</v>
      </c>
      <c r="K15" s="193"/>
      <c r="L15" s="193"/>
      <c r="M15" s="194"/>
      <c r="N15" s="192" t="s">
        <v>104</v>
      </c>
      <c r="O15" s="193"/>
      <c r="P15" s="193"/>
      <c r="Q15" s="194"/>
      <c r="R15" s="192" t="s">
        <v>106</v>
      </c>
      <c r="S15" s="193"/>
      <c r="T15" s="193"/>
      <c r="U15" s="194"/>
      <c r="V15" s="99"/>
      <c r="W15" s="176">
        <v>0.35833333333333334</v>
      </c>
      <c r="X15" s="177"/>
      <c r="Y15" s="161">
        <v>0.37916666666666665</v>
      </c>
      <c r="Z15" s="178"/>
      <c r="AA15" s="161"/>
      <c r="AB15" s="179"/>
      <c r="AC15" s="161">
        <v>1.6666666666666666E-2</v>
      </c>
      <c r="AD15" s="179"/>
      <c r="AE15" s="161">
        <v>2.0833333333333333E-3</v>
      </c>
      <c r="AF15" s="179"/>
      <c r="AG15" s="161">
        <v>2.0833333333333333E-3</v>
      </c>
      <c r="AH15" s="179"/>
      <c r="AI15" s="161"/>
      <c r="AJ15" s="179"/>
      <c r="AK15" s="161"/>
      <c r="AL15" s="162"/>
      <c r="AM15" s="188" t="s">
        <v>119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1" t="s">
        <v>31</v>
      </c>
      <c r="C16" s="202"/>
      <c r="D16" s="202"/>
      <c r="E16" s="202"/>
      <c r="F16" s="203"/>
      <c r="G16" s="204"/>
      <c r="H16" s="204"/>
      <c r="I16" s="205"/>
      <c r="J16" s="203"/>
      <c r="K16" s="204"/>
      <c r="L16" s="204"/>
      <c r="M16" s="205"/>
      <c r="N16" s="203"/>
      <c r="O16" s="204"/>
      <c r="P16" s="204"/>
      <c r="Q16" s="205"/>
      <c r="R16" s="203"/>
      <c r="S16" s="204"/>
      <c r="T16" s="204"/>
      <c r="U16" s="205"/>
      <c r="V16" s="99"/>
      <c r="W16" s="176">
        <v>0.37916666666666665</v>
      </c>
      <c r="X16" s="178"/>
      <c r="Y16" s="161">
        <v>0.39166666666666666</v>
      </c>
      <c r="Z16" s="178"/>
      <c r="AA16" s="161"/>
      <c r="AB16" s="179"/>
      <c r="AC16" s="161">
        <v>9.7222222222222224E-3</v>
      </c>
      <c r="AD16" s="179"/>
      <c r="AE16" s="161">
        <v>1.3888888888888889E-3</v>
      </c>
      <c r="AF16" s="179"/>
      <c r="AG16" s="161">
        <v>1.3888888888888889E-3</v>
      </c>
      <c r="AH16" s="179"/>
      <c r="AI16" s="161"/>
      <c r="AJ16" s="179"/>
      <c r="AK16" s="161"/>
      <c r="AL16" s="162"/>
      <c r="AM16" s="157" t="s">
        <v>120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0.39166666666666666</v>
      </c>
      <c r="X17" s="178"/>
      <c r="Y17" s="161">
        <v>0.47500000000000003</v>
      </c>
      <c r="Z17" s="178"/>
      <c r="AA17" s="161"/>
      <c r="AB17" s="179"/>
      <c r="AC17" s="183">
        <v>7.7083333333333337E-2</v>
      </c>
      <c r="AD17" s="184"/>
      <c r="AE17" s="183">
        <v>3.472222222222222E-3</v>
      </c>
      <c r="AF17" s="184"/>
      <c r="AG17" s="183">
        <v>2.7777777777777779E-3</v>
      </c>
      <c r="AH17" s="184"/>
      <c r="AI17" s="161"/>
      <c r="AJ17" s="179"/>
      <c r="AK17" s="161"/>
      <c r="AL17" s="162"/>
      <c r="AM17" s="157" t="s">
        <v>121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0.47500000000000003</v>
      </c>
      <c r="X18" s="178"/>
      <c r="Y18" s="161">
        <v>0.49583333333333335</v>
      </c>
      <c r="Z18" s="178"/>
      <c r="AA18" s="161"/>
      <c r="AB18" s="179"/>
      <c r="AC18" s="161">
        <v>1.5972222222222224E-2</v>
      </c>
      <c r="AD18" s="179"/>
      <c r="AE18" s="183">
        <v>3.472222222222222E-3</v>
      </c>
      <c r="AF18" s="184"/>
      <c r="AG18" s="183">
        <v>1.3888888888888889E-3</v>
      </c>
      <c r="AH18" s="184"/>
      <c r="AI18" s="161"/>
      <c r="AJ18" s="179"/>
      <c r="AK18" s="161"/>
      <c r="AL18" s="162"/>
      <c r="AM18" s="157" t="s">
        <v>129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3" t="s">
        <v>33</v>
      </c>
      <c r="D19" s="214"/>
      <c r="E19" s="214"/>
      <c r="F19" s="214"/>
      <c r="G19" s="214"/>
      <c r="H19" s="214"/>
      <c r="I19" s="214"/>
      <c r="J19" s="214"/>
      <c r="K19" s="214"/>
      <c r="L19" s="215"/>
      <c r="M19" s="213" t="s">
        <v>34</v>
      </c>
      <c r="N19" s="214"/>
      <c r="O19" s="215"/>
      <c r="P19" s="213" t="s">
        <v>35</v>
      </c>
      <c r="Q19" s="214"/>
      <c r="R19" s="215"/>
      <c r="S19" s="213" t="s">
        <v>36</v>
      </c>
      <c r="T19" s="214"/>
      <c r="U19" s="216"/>
      <c r="V19" s="100"/>
      <c r="W19" s="176">
        <v>0.49583333333333335</v>
      </c>
      <c r="X19" s="178"/>
      <c r="Y19" s="161">
        <v>0.54583333333333328</v>
      </c>
      <c r="Z19" s="178"/>
      <c r="AA19" s="161"/>
      <c r="AB19" s="179"/>
      <c r="AC19" s="181"/>
      <c r="AD19" s="182"/>
      <c r="AE19" s="161"/>
      <c r="AF19" s="179"/>
      <c r="AG19" s="161"/>
      <c r="AH19" s="179"/>
      <c r="AI19" s="161"/>
      <c r="AJ19" s="179"/>
      <c r="AK19" s="161">
        <v>4.9999999999999996E-2</v>
      </c>
      <c r="AL19" s="162"/>
      <c r="AM19" s="157" t="s">
        <v>130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6" t="s">
        <v>94</v>
      </c>
      <c r="D20" s="196"/>
      <c r="E20" s="196"/>
      <c r="F20" s="196"/>
      <c r="G20" s="196"/>
      <c r="H20" s="196"/>
      <c r="I20" s="196"/>
      <c r="J20" s="196"/>
      <c r="K20" s="196"/>
      <c r="L20" s="11"/>
      <c r="M20" s="207">
        <v>0</v>
      </c>
      <c r="N20" s="208"/>
      <c r="O20" s="209"/>
      <c r="P20" s="207">
        <v>0</v>
      </c>
      <c r="Q20" s="208"/>
      <c r="R20" s="209"/>
      <c r="S20" s="210">
        <f>M20+P20</f>
        <v>0</v>
      </c>
      <c r="T20" s="211"/>
      <c r="U20" s="212"/>
      <c r="V20" s="101"/>
      <c r="W20" s="176">
        <v>0.54583333333333328</v>
      </c>
      <c r="X20" s="178"/>
      <c r="Y20" s="161">
        <v>0.57916666666666672</v>
      </c>
      <c r="Z20" s="179"/>
      <c r="AA20" s="183"/>
      <c r="AB20" s="184"/>
      <c r="AC20" s="161">
        <v>2.7777777777777776E-2</v>
      </c>
      <c r="AD20" s="179"/>
      <c r="AE20" s="183">
        <v>3.472222222222222E-3</v>
      </c>
      <c r="AF20" s="184"/>
      <c r="AG20" s="183">
        <v>2.0833333333333333E-3</v>
      </c>
      <c r="AH20" s="184"/>
      <c r="AI20" s="183"/>
      <c r="AJ20" s="184"/>
      <c r="AK20" s="183"/>
      <c r="AL20" s="217"/>
      <c r="AM20" s="157" t="s">
        <v>122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18" t="s">
        <v>37</v>
      </c>
      <c r="D21" s="190"/>
      <c r="E21" s="190"/>
      <c r="F21" s="190"/>
      <c r="G21" s="190"/>
      <c r="H21" s="190"/>
      <c r="I21" s="190"/>
      <c r="J21" s="190"/>
      <c r="K21" s="190"/>
      <c r="L21" s="16"/>
      <c r="M21" s="219">
        <v>0</v>
      </c>
      <c r="N21" s="220"/>
      <c r="O21" s="221"/>
      <c r="P21" s="219">
        <v>0</v>
      </c>
      <c r="Q21" s="220"/>
      <c r="R21" s="221"/>
      <c r="S21" s="222">
        <f t="shared" ref="S21:S25" si="0">M21+P21</f>
        <v>0</v>
      </c>
      <c r="T21" s="223"/>
      <c r="U21" s="224"/>
      <c r="V21" s="102"/>
      <c r="W21" s="176">
        <v>0.57916666666666672</v>
      </c>
      <c r="X21" s="179"/>
      <c r="Y21" s="161">
        <v>0.64583333333333337</v>
      </c>
      <c r="Z21" s="178"/>
      <c r="AA21" s="161"/>
      <c r="AB21" s="179"/>
      <c r="AC21" s="161"/>
      <c r="AD21" s="179"/>
      <c r="AE21" s="183"/>
      <c r="AF21" s="184"/>
      <c r="AG21" s="183"/>
      <c r="AH21" s="184"/>
      <c r="AI21" s="161"/>
      <c r="AJ21" s="179"/>
      <c r="AK21" s="161">
        <v>6.6666666666666666E-2</v>
      </c>
      <c r="AL21" s="162"/>
      <c r="AM21" s="157" t="s">
        <v>131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18" t="s">
        <v>38</v>
      </c>
      <c r="D22" s="190"/>
      <c r="E22" s="190"/>
      <c r="F22" s="190"/>
      <c r="G22" s="190"/>
      <c r="H22" s="190"/>
      <c r="I22" s="190"/>
      <c r="J22" s="190"/>
      <c r="K22" s="190"/>
      <c r="L22" s="16"/>
      <c r="M22" s="219">
        <v>0</v>
      </c>
      <c r="N22" s="220"/>
      <c r="O22" s="221"/>
      <c r="P22" s="219">
        <v>0</v>
      </c>
      <c r="Q22" s="220"/>
      <c r="R22" s="221"/>
      <c r="S22" s="222">
        <f t="shared" si="0"/>
        <v>0</v>
      </c>
      <c r="T22" s="223"/>
      <c r="U22" s="224"/>
      <c r="V22" s="103"/>
      <c r="W22" s="176">
        <v>0.64583333333333337</v>
      </c>
      <c r="X22" s="179"/>
      <c r="Y22" s="161">
        <v>0.72083333333333333</v>
      </c>
      <c r="Z22" s="178"/>
      <c r="AA22" s="161"/>
      <c r="AB22" s="179"/>
      <c r="AC22" s="161">
        <v>6.8749999999999992E-2</v>
      </c>
      <c r="AD22" s="179"/>
      <c r="AE22" s="183">
        <v>3.472222222222222E-3</v>
      </c>
      <c r="AF22" s="184"/>
      <c r="AG22" s="183">
        <v>2.7777777777777779E-3</v>
      </c>
      <c r="AH22" s="184"/>
      <c r="AI22" s="161"/>
      <c r="AJ22" s="179"/>
      <c r="AK22" s="161"/>
      <c r="AL22" s="162"/>
      <c r="AM22" s="157" t="s">
        <v>132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18" t="s">
        <v>39</v>
      </c>
      <c r="D23" s="190"/>
      <c r="E23" s="190"/>
      <c r="F23" s="190"/>
      <c r="G23" s="190"/>
      <c r="H23" s="190"/>
      <c r="I23" s="190"/>
      <c r="J23" s="190"/>
      <c r="K23" s="190"/>
      <c r="L23" s="16"/>
      <c r="M23" s="219">
        <v>0</v>
      </c>
      <c r="N23" s="220"/>
      <c r="O23" s="221"/>
      <c r="P23" s="219">
        <v>0</v>
      </c>
      <c r="Q23" s="220"/>
      <c r="R23" s="221"/>
      <c r="S23" s="222">
        <f t="shared" si="0"/>
        <v>0</v>
      </c>
      <c r="T23" s="223"/>
      <c r="U23" s="224"/>
      <c r="V23" s="103"/>
      <c r="W23" s="176">
        <v>0.72083333333333333</v>
      </c>
      <c r="X23" s="179"/>
      <c r="Y23" s="161">
        <v>0.7583333333333333</v>
      </c>
      <c r="Z23" s="178"/>
      <c r="AA23" s="161"/>
      <c r="AB23" s="179"/>
      <c r="AC23" s="161">
        <v>3.125E-2</v>
      </c>
      <c r="AD23" s="179"/>
      <c r="AE23" s="161">
        <v>3.472222222222222E-3</v>
      </c>
      <c r="AF23" s="179"/>
      <c r="AG23" s="183">
        <v>2.7777777777777779E-3</v>
      </c>
      <c r="AH23" s="184"/>
      <c r="AI23" s="161"/>
      <c r="AJ23" s="179"/>
      <c r="AK23" s="161"/>
      <c r="AL23" s="162"/>
      <c r="AM23" s="157" t="s">
        <v>133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3" t="s">
        <v>40</v>
      </c>
      <c r="D24" s="234"/>
      <c r="E24" s="234"/>
      <c r="F24" s="234"/>
      <c r="G24" s="234"/>
      <c r="H24" s="234"/>
      <c r="I24" s="234"/>
      <c r="J24" s="234"/>
      <c r="K24" s="234"/>
      <c r="L24" s="16"/>
      <c r="M24" s="219">
        <v>0</v>
      </c>
      <c r="N24" s="220"/>
      <c r="O24" s="221"/>
      <c r="P24" s="219">
        <v>0</v>
      </c>
      <c r="Q24" s="220"/>
      <c r="R24" s="221"/>
      <c r="S24" s="222">
        <v>0</v>
      </c>
      <c r="T24" s="223"/>
      <c r="U24" s="224"/>
      <c r="V24" s="103"/>
      <c r="W24" s="176">
        <v>0.7583333333333333</v>
      </c>
      <c r="X24" s="178"/>
      <c r="Y24" s="161">
        <v>0.79583333333333339</v>
      </c>
      <c r="Z24" s="178"/>
      <c r="AA24" s="161"/>
      <c r="AB24" s="179"/>
      <c r="AC24" s="161">
        <v>3.125E-2</v>
      </c>
      <c r="AD24" s="179"/>
      <c r="AE24" s="181">
        <v>3.472222222222222E-3</v>
      </c>
      <c r="AF24" s="182"/>
      <c r="AG24" s="161">
        <v>2.7777777777777779E-3</v>
      </c>
      <c r="AH24" s="179"/>
      <c r="AI24" s="185"/>
      <c r="AJ24" s="185"/>
      <c r="AK24" s="186"/>
      <c r="AL24" s="187"/>
      <c r="AM24" s="157" t="s">
        <v>134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5" t="s">
        <v>41</v>
      </c>
      <c r="D25" s="226"/>
      <c r="E25" s="226"/>
      <c r="F25" s="226"/>
      <c r="G25" s="226"/>
      <c r="H25" s="226"/>
      <c r="I25" s="226"/>
      <c r="J25" s="226"/>
      <c r="K25" s="226"/>
      <c r="L25" s="38"/>
      <c r="M25" s="227">
        <v>0</v>
      </c>
      <c r="N25" s="228"/>
      <c r="O25" s="229"/>
      <c r="P25" s="227">
        <v>0</v>
      </c>
      <c r="Q25" s="228"/>
      <c r="R25" s="229"/>
      <c r="S25" s="230">
        <f t="shared" si="0"/>
        <v>0</v>
      </c>
      <c r="T25" s="231"/>
      <c r="U25" s="232"/>
      <c r="V25" s="103"/>
      <c r="W25" s="176">
        <v>0.79583333333333339</v>
      </c>
      <c r="X25" s="177"/>
      <c r="Y25" s="161">
        <v>1</v>
      </c>
      <c r="Z25" s="178"/>
      <c r="AA25" s="161"/>
      <c r="AB25" s="179"/>
      <c r="AC25" s="161"/>
      <c r="AD25" s="179"/>
      <c r="AE25" s="161"/>
      <c r="AF25" s="179"/>
      <c r="AG25" s="183"/>
      <c r="AH25" s="184"/>
      <c r="AI25" s="161"/>
      <c r="AJ25" s="179"/>
      <c r="AK25" s="161">
        <v>0.20416666666666669</v>
      </c>
      <c r="AL25" s="162"/>
      <c r="AM25" s="157" t="s">
        <v>135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3" t="s">
        <v>43</v>
      </c>
      <c r="D26" s="214"/>
      <c r="E26" s="214"/>
      <c r="F26" s="214"/>
      <c r="G26" s="214"/>
      <c r="H26" s="214"/>
      <c r="I26" s="214"/>
      <c r="J26" s="214"/>
      <c r="K26" s="214"/>
      <c r="L26" s="215"/>
      <c r="M26" s="213" t="s">
        <v>34</v>
      </c>
      <c r="N26" s="214"/>
      <c r="O26" s="215"/>
      <c r="P26" s="213" t="s">
        <v>35</v>
      </c>
      <c r="Q26" s="214"/>
      <c r="R26" s="215"/>
      <c r="S26" s="244" t="s">
        <v>44</v>
      </c>
      <c r="T26" s="245"/>
      <c r="U26" s="246"/>
      <c r="V26" s="103"/>
      <c r="W26" s="176"/>
      <c r="X26" s="178"/>
      <c r="Y26" s="180"/>
      <c r="Z26" s="177"/>
      <c r="AA26" s="161"/>
      <c r="AB26" s="179"/>
      <c r="AC26" s="161"/>
      <c r="AD26" s="179"/>
      <c r="AE26" s="181"/>
      <c r="AF26" s="182"/>
      <c r="AG26" s="161"/>
      <c r="AH26" s="179"/>
      <c r="AI26" s="161"/>
      <c r="AJ26" s="179"/>
      <c r="AK26" s="161"/>
      <c r="AL26" s="162"/>
      <c r="AM26" s="157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5" t="s">
        <v>45</v>
      </c>
      <c r="D27" s="236"/>
      <c r="E27" s="236"/>
      <c r="F27" s="236"/>
      <c r="G27" s="236"/>
      <c r="H27" s="236"/>
      <c r="I27" s="236"/>
      <c r="J27" s="236"/>
      <c r="K27" s="236"/>
      <c r="L27" s="237"/>
      <c r="M27" s="238">
        <v>0</v>
      </c>
      <c r="N27" s="239"/>
      <c r="O27" s="240"/>
      <c r="P27" s="238">
        <v>0</v>
      </c>
      <c r="Q27" s="239"/>
      <c r="R27" s="240"/>
      <c r="S27" s="241">
        <f t="shared" ref="S27:S32" si="1">M27+P27</f>
        <v>0</v>
      </c>
      <c r="T27" s="242"/>
      <c r="U27" s="243"/>
      <c r="V27" s="29"/>
      <c r="W27" s="176"/>
      <c r="X27" s="178"/>
      <c r="Y27" s="180"/>
      <c r="Z27" s="178"/>
      <c r="AA27" s="161"/>
      <c r="AB27" s="179"/>
      <c r="AC27" s="161"/>
      <c r="AD27" s="179"/>
      <c r="AE27" s="181"/>
      <c r="AF27" s="182"/>
      <c r="AG27" s="181"/>
      <c r="AH27" s="182"/>
      <c r="AI27" s="161"/>
      <c r="AJ27" s="179"/>
      <c r="AK27" s="161"/>
      <c r="AL27" s="179"/>
      <c r="AM27" s="157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3" t="s">
        <v>46</v>
      </c>
      <c r="D28" s="234"/>
      <c r="E28" s="234"/>
      <c r="F28" s="234"/>
      <c r="G28" s="234"/>
      <c r="H28" s="234"/>
      <c r="I28" s="234"/>
      <c r="J28" s="234"/>
      <c r="K28" s="234"/>
      <c r="L28" s="247"/>
      <c r="M28" s="248">
        <v>0</v>
      </c>
      <c r="N28" s="249"/>
      <c r="O28" s="250"/>
      <c r="P28" s="248">
        <v>0</v>
      </c>
      <c r="Q28" s="249"/>
      <c r="R28" s="250"/>
      <c r="S28" s="251">
        <f t="shared" si="1"/>
        <v>0</v>
      </c>
      <c r="T28" s="252"/>
      <c r="U28" s="253"/>
      <c r="V28" s="30"/>
      <c r="W28" s="176"/>
      <c r="X28" s="177"/>
      <c r="Y28" s="161"/>
      <c r="Z28" s="178"/>
      <c r="AA28" s="161"/>
      <c r="AB28" s="179"/>
      <c r="AC28" s="161"/>
      <c r="AD28" s="179"/>
      <c r="AE28" s="183"/>
      <c r="AF28" s="184"/>
      <c r="AG28" s="161"/>
      <c r="AH28" s="179"/>
      <c r="AI28" s="161"/>
      <c r="AJ28" s="179"/>
      <c r="AK28" s="161"/>
      <c r="AL28" s="162"/>
      <c r="AM28" s="157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4" t="s">
        <v>47</v>
      </c>
      <c r="E29" s="234"/>
      <c r="F29" s="234"/>
      <c r="G29" s="234"/>
      <c r="H29" s="234"/>
      <c r="I29" s="234"/>
      <c r="J29" s="234"/>
      <c r="K29" s="234"/>
      <c r="L29" s="247"/>
      <c r="M29" s="248">
        <v>0</v>
      </c>
      <c r="N29" s="249"/>
      <c r="O29" s="250"/>
      <c r="P29" s="248">
        <v>0</v>
      </c>
      <c r="Q29" s="249"/>
      <c r="R29" s="250"/>
      <c r="S29" s="251">
        <f t="shared" si="1"/>
        <v>0</v>
      </c>
      <c r="T29" s="252"/>
      <c r="U29" s="253"/>
      <c r="V29" s="30"/>
      <c r="W29" s="254"/>
      <c r="X29" s="178"/>
      <c r="Y29" s="177"/>
      <c r="Z29" s="177"/>
      <c r="AA29" s="161"/>
      <c r="AB29" s="179"/>
      <c r="AC29" s="161"/>
      <c r="AD29" s="179"/>
      <c r="AE29" s="183"/>
      <c r="AF29" s="184"/>
      <c r="AG29" s="161"/>
      <c r="AH29" s="179"/>
      <c r="AI29" s="161"/>
      <c r="AJ29" s="179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4" t="s">
        <v>48</v>
      </c>
      <c r="E30" s="234"/>
      <c r="F30" s="234"/>
      <c r="G30" s="234"/>
      <c r="H30" s="234"/>
      <c r="I30" s="234"/>
      <c r="J30" s="234"/>
      <c r="K30" s="234"/>
      <c r="L30" s="247"/>
      <c r="M30" s="248">
        <v>0</v>
      </c>
      <c r="N30" s="249"/>
      <c r="O30" s="250"/>
      <c r="P30" s="248">
        <v>0</v>
      </c>
      <c r="Q30" s="249"/>
      <c r="R30" s="250"/>
      <c r="S30" s="251">
        <f t="shared" si="1"/>
        <v>0</v>
      </c>
      <c r="T30" s="252"/>
      <c r="U30" s="253"/>
      <c r="V30" s="30"/>
      <c r="W30" s="254"/>
      <c r="X30" s="178"/>
      <c r="Y30" s="255"/>
      <c r="Z30" s="178"/>
      <c r="AA30" s="161"/>
      <c r="AB30" s="179"/>
      <c r="AC30" s="161"/>
      <c r="AD30" s="179"/>
      <c r="AE30" s="161"/>
      <c r="AF30" s="179"/>
      <c r="AG30" s="181"/>
      <c r="AH30" s="182"/>
      <c r="AI30" s="161"/>
      <c r="AJ30" s="179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4" t="s">
        <v>49</v>
      </c>
      <c r="E31" s="234"/>
      <c r="F31" s="234"/>
      <c r="G31" s="234"/>
      <c r="H31" s="234"/>
      <c r="I31" s="234"/>
      <c r="J31" s="234"/>
      <c r="K31" s="234"/>
      <c r="L31" s="247"/>
      <c r="M31" s="248">
        <v>0</v>
      </c>
      <c r="N31" s="249"/>
      <c r="O31" s="250"/>
      <c r="P31" s="248">
        <v>0</v>
      </c>
      <c r="Q31" s="249"/>
      <c r="R31" s="250"/>
      <c r="S31" s="251">
        <f t="shared" si="1"/>
        <v>0</v>
      </c>
      <c r="T31" s="252"/>
      <c r="U31" s="253"/>
      <c r="V31" s="30"/>
      <c r="W31" s="254"/>
      <c r="X31" s="178"/>
      <c r="Y31" s="255"/>
      <c r="Z31" s="178"/>
      <c r="AA31" s="183"/>
      <c r="AB31" s="184"/>
      <c r="AC31" s="161"/>
      <c r="AD31" s="179"/>
      <c r="AE31" s="183"/>
      <c r="AF31" s="184"/>
      <c r="AG31" s="161"/>
      <c r="AH31" s="179"/>
      <c r="AI31" s="161"/>
      <c r="AJ31" s="179"/>
      <c r="AK31" s="161"/>
      <c r="AL31" s="162"/>
      <c r="AM31" s="157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6" t="s">
        <v>50</v>
      </c>
      <c r="E32" s="226"/>
      <c r="F32" s="226"/>
      <c r="G32" s="226"/>
      <c r="H32" s="226"/>
      <c r="I32" s="226"/>
      <c r="J32" s="226"/>
      <c r="K32" s="226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0.59444444444444444</v>
      </c>
      <c r="AD32" s="257"/>
      <c r="AE32" s="280">
        <f>SUM(AE10:AF31)</f>
        <v>5.4166666666666675E-2</v>
      </c>
      <c r="AF32" s="281"/>
      <c r="AG32" s="256">
        <f>SUM(AG10:AH31)</f>
        <v>3.0555555555555555E-2</v>
      </c>
      <c r="AH32" s="257"/>
      <c r="AI32" s="256">
        <f>SUM(AI10:AJ31)</f>
        <v>0</v>
      </c>
      <c r="AJ32" s="257"/>
      <c r="AK32" s="256">
        <f>SUM(AK10:AL31)</f>
        <v>0.32083333333333336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59" t="s">
        <v>53</v>
      </c>
      <c r="C35" s="214"/>
      <c r="D35" s="214"/>
      <c r="E35" s="214"/>
      <c r="F35" s="214"/>
      <c r="G35" s="214"/>
      <c r="H35" s="216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3" t="s">
        <v>60</v>
      </c>
      <c r="AH35" s="214"/>
      <c r="AI35" s="214"/>
      <c r="AJ35" s="215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7569</v>
      </c>
      <c r="Z36" s="293"/>
      <c r="AA36" s="293"/>
      <c r="AB36" s="53" t="s">
        <v>65</v>
      </c>
      <c r="AC36" s="294">
        <v>2223</v>
      </c>
      <c r="AD36" s="295"/>
      <c r="AE36" s="295"/>
      <c r="AF36" s="54" t="s">
        <v>65</v>
      </c>
      <c r="AG36" s="296">
        <v>14974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20320</v>
      </c>
      <c r="AP36" s="301"/>
      <c r="AQ36" s="53" t="s">
        <v>65</v>
      </c>
      <c r="AR36" s="302" t="s">
        <v>124</v>
      </c>
      <c r="AS36" s="303"/>
      <c r="AT36" s="303"/>
      <c r="AU36" s="303"/>
      <c r="AV36" s="304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0.59444444444444444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1712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11</v>
      </c>
      <c r="Z37" s="326"/>
      <c r="AA37" s="326"/>
      <c r="AB37" s="59" t="s">
        <v>65</v>
      </c>
      <c r="AC37" s="327">
        <v>5</v>
      </c>
      <c r="AD37" s="328"/>
      <c r="AE37" s="328"/>
      <c r="AF37" s="60" t="s">
        <v>65</v>
      </c>
      <c r="AG37" s="329">
        <v>23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29</v>
      </c>
      <c r="AP37" s="332"/>
      <c r="AQ37" s="59" t="s">
        <v>65</v>
      </c>
      <c r="AR37" s="305" t="s">
        <v>111</v>
      </c>
      <c r="AS37" s="306"/>
      <c r="AT37" s="306"/>
      <c r="AU37" s="306"/>
      <c r="AV37" s="307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5.4166666666666675E-2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115.70000000000002</v>
      </c>
      <c r="P38" s="314"/>
      <c r="Q38" s="58" t="s">
        <v>65</v>
      </c>
      <c r="R38" s="47"/>
      <c r="S38" s="315" t="s">
        <v>70</v>
      </c>
      <c r="T38" s="234"/>
      <c r="U38" s="234"/>
      <c r="V38" s="234"/>
      <c r="W38" s="234"/>
      <c r="X38" s="247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 t="s">
        <v>112</v>
      </c>
      <c r="AS38" s="306"/>
      <c r="AT38" s="306"/>
      <c r="AU38" s="306"/>
      <c r="AV38" s="307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3.0555555555555555E-2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65.266666666666666</v>
      </c>
      <c r="P39" s="314"/>
      <c r="Q39" s="58" t="s">
        <v>65</v>
      </c>
      <c r="R39" s="47"/>
      <c r="S39" s="315" t="s">
        <v>72</v>
      </c>
      <c r="T39" s="234"/>
      <c r="U39" s="234"/>
      <c r="V39" s="234"/>
      <c r="W39" s="234"/>
      <c r="X39" s="247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 t="s">
        <v>125</v>
      </c>
      <c r="AS39" s="306"/>
      <c r="AT39" s="306"/>
      <c r="AU39" s="306"/>
      <c r="AV39" s="307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4"/>
      <c r="U40" s="234"/>
      <c r="V40" s="234"/>
      <c r="W40" s="234"/>
      <c r="X40" s="247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 t="s">
        <v>126</v>
      </c>
      <c r="AS40" s="306"/>
      <c r="AT40" s="306"/>
      <c r="AU40" s="306"/>
      <c r="AV40" s="307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0.32083333333333336</v>
      </c>
      <c r="J41" s="309"/>
      <c r="K41" s="310"/>
      <c r="L41" s="311">
        <v>40</v>
      </c>
      <c r="M41" s="312"/>
      <c r="N41" s="57" t="s">
        <v>65</v>
      </c>
      <c r="O41" s="313">
        <f t="shared" si="2"/>
        <v>308.00000000000006</v>
      </c>
      <c r="P41" s="314"/>
      <c r="Q41" s="58" t="s">
        <v>65</v>
      </c>
      <c r="R41" s="52"/>
      <c r="S41" s="315" t="s">
        <v>77</v>
      </c>
      <c r="T41" s="234"/>
      <c r="U41" s="234"/>
      <c r="V41" s="234"/>
      <c r="W41" s="234"/>
      <c r="X41" s="247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 t="s">
        <v>127</v>
      </c>
      <c r="AS41" s="306"/>
      <c r="AT41" s="306"/>
      <c r="AU41" s="306"/>
      <c r="AV41" s="307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4"/>
      <c r="U42" s="234"/>
      <c r="V42" s="234"/>
      <c r="W42" s="234"/>
      <c r="X42" s="247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 t="s">
        <v>128</v>
      </c>
      <c r="AS42" s="306"/>
      <c r="AT42" s="306"/>
      <c r="AU42" s="306"/>
      <c r="AV42" s="307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6"/>
      <c r="U43" s="226"/>
      <c r="V43" s="226"/>
      <c r="W43" s="226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 t="s">
        <v>113</v>
      </c>
      <c r="AS43" s="340"/>
      <c r="AT43" s="340"/>
      <c r="AU43" s="340"/>
      <c r="AV43" s="341"/>
    </row>
    <row r="44" spans="1:48" ht="15.75" customHeight="1" thickTop="1" thickBot="1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1</v>
      </c>
      <c r="J44" s="345"/>
      <c r="K44" s="346"/>
      <c r="L44" s="347"/>
      <c r="M44" s="348"/>
      <c r="N44" s="71"/>
      <c r="O44" s="349">
        <f>SUM(O36:P41)</f>
        <v>2200.9666666666667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100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99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25-19</vt:lpstr>
      <vt:lpstr>'25-19'!Print_Area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2019-10-18T14:00:32Z</cp:lastPrinted>
  <dcterms:created xsi:type="dcterms:W3CDTF">2017-04-30T16:06:17Z</dcterms:created>
  <dcterms:modified xsi:type="dcterms:W3CDTF">2019-10-25T15:20:16Z</dcterms:modified>
</cp:coreProperties>
</file>